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samuel_salin_aalto_fi/Documents/Desktop/Risk Elicitation/RE/"/>
    </mc:Choice>
  </mc:AlternateContent>
  <xr:revisionPtr revIDLastSave="1" documentId="11_BBF9AF74AC20D3FF2286BA73C3D10CC99D880FBC" xr6:coauthVersionLast="47" xr6:coauthVersionMax="47" xr10:uidLastSave="{B475AB59-9C80-4B51-ABA7-F0F6F2694E65}"/>
  <bookViews>
    <workbookView xWindow="-5160" yWindow="-21720" windowWidth="38640" windowHeight="21120" xr2:uid="{00000000-000D-0000-FFFF-FFFF00000000}"/>
  </bookViews>
  <sheets>
    <sheet name="All" sheetId="1" r:id="rId1"/>
    <sheet name="Volatility" sheetId="2" r:id="rId2"/>
    <sheet name="Skewnes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G20" i="3"/>
  <c r="E20" i="3"/>
  <c r="D20" i="3"/>
  <c r="C20" i="3"/>
  <c r="B20" i="3"/>
  <c r="G19" i="3"/>
  <c r="D19" i="3"/>
  <c r="C19" i="3"/>
  <c r="B19" i="3"/>
  <c r="C18" i="3"/>
  <c r="B18" i="3"/>
  <c r="K17" i="3"/>
  <c r="E17" i="3"/>
  <c r="C17" i="3"/>
  <c r="B17" i="3"/>
  <c r="G16" i="3"/>
  <c r="E16" i="3"/>
  <c r="D16" i="3"/>
  <c r="C16" i="3"/>
  <c r="B16" i="3"/>
  <c r="G15" i="3"/>
  <c r="E15" i="3"/>
  <c r="D15" i="3"/>
  <c r="C15" i="3"/>
  <c r="B15" i="3"/>
  <c r="K13" i="3"/>
  <c r="I13" i="3"/>
  <c r="H13" i="3"/>
  <c r="G13" i="3"/>
  <c r="F13" i="3"/>
  <c r="J13" i="3" s="1"/>
  <c r="E13" i="3"/>
  <c r="D13" i="3"/>
  <c r="K12" i="3"/>
  <c r="I12" i="3"/>
  <c r="H12" i="3"/>
  <c r="G12" i="3"/>
  <c r="F12" i="3"/>
  <c r="J12" i="3" s="1"/>
  <c r="E12" i="3"/>
  <c r="D12" i="3"/>
  <c r="K11" i="3"/>
  <c r="I11" i="3"/>
  <c r="H11" i="3"/>
  <c r="G11" i="3"/>
  <c r="F11" i="3"/>
  <c r="J11" i="3" s="1"/>
  <c r="E11" i="3"/>
  <c r="D11" i="3"/>
  <c r="K10" i="3"/>
  <c r="I10" i="3"/>
  <c r="H10" i="3"/>
  <c r="G10" i="3"/>
  <c r="F10" i="3"/>
  <c r="J10" i="3" s="1"/>
  <c r="E10" i="3"/>
  <c r="D10" i="3"/>
  <c r="K9" i="3"/>
  <c r="I9" i="3"/>
  <c r="H9" i="3"/>
  <c r="G9" i="3"/>
  <c r="F9" i="3"/>
  <c r="J9" i="3" s="1"/>
  <c r="E9" i="3"/>
  <c r="D9" i="3"/>
  <c r="K8" i="3"/>
  <c r="I8" i="3"/>
  <c r="H8" i="3"/>
  <c r="G8" i="3"/>
  <c r="F8" i="3"/>
  <c r="J8" i="3" s="1"/>
  <c r="E8" i="3"/>
  <c r="D8" i="3"/>
  <c r="K7" i="3"/>
  <c r="I7" i="3"/>
  <c r="H7" i="3"/>
  <c r="G7" i="3"/>
  <c r="F7" i="3"/>
  <c r="J7" i="3" s="1"/>
  <c r="E7" i="3"/>
  <c r="D7" i="3"/>
  <c r="K6" i="3"/>
  <c r="I6" i="3"/>
  <c r="H6" i="3"/>
  <c r="G6" i="3"/>
  <c r="F6" i="3"/>
  <c r="J6" i="3" s="1"/>
  <c r="E6" i="3"/>
  <c r="D6" i="3"/>
  <c r="K5" i="3"/>
  <c r="I5" i="3"/>
  <c r="H5" i="3"/>
  <c r="H18" i="3" s="1"/>
  <c r="G5" i="3"/>
  <c r="F5" i="3"/>
  <c r="J5" i="3" s="1"/>
  <c r="E5" i="3"/>
  <c r="D5" i="3"/>
  <c r="K4" i="3"/>
  <c r="I4" i="3"/>
  <c r="H4" i="3"/>
  <c r="G4" i="3"/>
  <c r="F4" i="3"/>
  <c r="J4" i="3" s="1"/>
  <c r="E4" i="3"/>
  <c r="D4" i="3"/>
  <c r="K3" i="3"/>
  <c r="K18" i="3" s="1"/>
  <c r="I3" i="3"/>
  <c r="I18" i="3" s="1"/>
  <c r="H3" i="3"/>
  <c r="G3" i="3"/>
  <c r="G18" i="3" s="1"/>
  <c r="F3" i="3"/>
  <c r="F19" i="3" s="1"/>
  <c r="E3" i="3"/>
  <c r="E19" i="3" s="1"/>
  <c r="D3" i="3"/>
  <c r="D18" i="3" s="1"/>
  <c r="D21" i="2"/>
  <c r="B21" i="2"/>
  <c r="H20" i="2"/>
  <c r="F20" i="2"/>
  <c r="E20" i="2"/>
  <c r="C20" i="2"/>
  <c r="B20" i="2"/>
  <c r="H19" i="2"/>
  <c r="F19" i="2"/>
  <c r="E19" i="2"/>
  <c r="C19" i="2"/>
  <c r="B19" i="2"/>
  <c r="C18" i="2"/>
  <c r="B18" i="2"/>
  <c r="F17" i="2"/>
  <c r="D17" i="2"/>
  <c r="C17" i="2"/>
  <c r="B17" i="2"/>
  <c r="H16" i="2"/>
  <c r="F16" i="2"/>
  <c r="E16" i="2"/>
  <c r="C16" i="2"/>
  <c r="B16" i="2"/>
  <c r="H15" i="2"/>
  <c r="F15" i="2"/>
  <c r="E15" i="2"/>
  <c r="C15" i="2"/>
  <c r="B15" i="2"/>
  <c r="J13" i="2"/>
  <c r="I13" i="2"/>
  <c r="H13" i="2"/>
  <c r="G13" i="2"/>
  <c r="K13" i="2" s="1"/>
  <c r="F13" i="2"/>
  <c r="E13" i="2"/>
  <c r="D13" i="2"/>
  <c r="J12" i="2"/>
  <c r="I12" i="2"/>
  <c r="H12" i="2"/>
  <c r="G12" i="2"/>
  <c r="K12" i="2" s="1"/>
  <c r="F12" i="2"/>
  <c r="E12" i="2"/>
  <c r="D12" i="2"/>
  <c r="J11" i="2"/>
  <c r="I11" i="2"/>
  <c r="H11" i="2"/>
  <c r="G11" i="2"/>
  <c r="K11" i="2" s="1"/>
  <c r="F11" i="2"/>
  <c r="E11" i="2"/>
  <c r="D11" i="2"/>
  <c r="J10" i="2"/>
  <c r="I10" i="2"/>
  <c r="H10" i="2"/>
  <c r="G10" i="2"/>
  <c r="K10" i="2" s="1"/>
  <c r="F10" i="2"/>
  <c r="E10" i="2"/>
  <c r="D10" i="2"/>
  <c r="J9" i="2"/>
  <c r="I9" i="2"/>
  <c r="H9" i="2"/>
  <c r="G9" i="2"/>
  <c r="K9" i="2" s="1"/>
  <c r="F9" i="2"/>
  <c r="E9" i="2"/>
  <c r="D9" i="2"/>
  <c r="J8" i="2"/>
  <c r="I8" i="2"/>
  <c r="H8" i="2"/>
  <c r="G8" i="2"/>
  <c r="K8" i="2" s="1"/>
  <c r="F8" i="2"/>
  <c r="E8" i="2"/>
  <c r="D8" i="2"/>
  <c r="J7" i="2"/>
  <c r="I7" i="2"/>
  <c r="H7" i="2"/>
  <c r="G7" i="2"/>
  <c r="K7" i="2" s="1"/>
  <c r="F7" i="2"/>
  <c r="E7" i="2"/>
  <c r="D7" i="2"/>
  <c r="J6" i="2"/>
  <c r="I6" i="2"/>
  <c r="H6" i="2"/>
  <c r="G6" i="2"/>
  <c r="K6" i="2" s="1"/>
  <c r="F6" i="2"/>
  <c r="E6" i="2"/>
  <c r="D6" i="2"/>
  <c r="J5" i="2"/>
  <c r="I5" i="2"/>
  <c r="H5" i="2"/>
  <c r="G5" i="2"/>
  <c r="K5" i="2" s="1"/>
  <c r="F5" i="2"/>
  <c r="E5" i="2"/>
  <c r="D5" i="2"/>
  <c r="J4" i="2"/>
  <c r="I4" i="2"/>
  <c r="H4" i="2"/>
  <c r="G4" i="2"/>
  <c r="K4" i="2" s="1"/>
  <c r="F4" i="2"/>
  <c r="E4" i="2"/>
  <c r="D4" i="2"/>
  <c r="J3" i="2"/>
  <c r="J18" i="2" s="1"/>
  <c r="I3" i="2"/>
  <c r="I18" i="2" s="1"/>
  <c r="H3" i="2"/>
  <c r="H21" i="2" s="1"/>
  <c r="G3" i="2"/>
  <c r="F21" i="2" s="1"/>
  <c r="F3" i="2"/>
  <c r="F18" i="2" s="1"/>
  <c r="E3" i="2"/>
  <c r="E18" i="2" s="1"/>
  <c r="D3" i="2"/>
  <c r="D18" i="2" s="1"/>
  <c r="U100" i="1" a="1"/>
  <c r="U100" i="1" s="1"/>
  <c r="T100" i="1" a="1"/>
  <c r="T100" i="1" s="1"/>
  <c r="T101" i="1" s="1"/>
  <c r="S100" i="1" a="1"/>
  <c r="S100" i="1"/>
  <c r="R100" i="1" a="1"/>
  <c r="R100" i="1" s="1"/>
  <c r="Q100" i="1" a="1"/>
  <c r="Q100" i="1" s="1"/>
  <c r="P100" i="1" a="1"/>
  <c r="P100" i="1" s="1"/>
  <c r="P102" i="1" s="1"/>
  <c r="O100" i="1" a="1"/>
  <c r="O100" i="1"/>
  <c r="N100" i="1" a="1"/>
  <c r="N100" i="1" s="1"/>
  <c r="M100" i="1" a="1"/>
  <c r="M100" i="1" s="1"/>
  <c r="L100" i="1" a="1"/>
  <c r="L100" i="1" s="1"/>
  <c r="L101" i="1" s="1"/>
  <c r="K100" i="1" a="1"/>
  <c r="K100" i="1" s="1"/>
  <c r="J100" i="1" a="1"/>
  <c r="J100" i="1" s="1"/>
  <c r="I100" i="1" a="1"/>
  <c r="I100" i="1" s="1"/>
  <c r="H100" i="1" a="1"/>
  <c r="H100" i="1" s="1"/>
  <c r="G100" i="1" a="1"/>
  <c r="G100" i="1"/>
  <c r="F100" i="1" a="1"/>
  <c r="F100" i="1" s="1"/>
  <c r="F102" i="1" s="1"/>
  <c r="E100" i="1" a="1"/>
  <c r="E100" i="1" s="1"/>
  <c r="D100" i="1" a="1"/>
  <c r="D100" i="1" s="1"/>
  <c r="C100" i="1" a="1"/>
  <c r="C100" i="1" s="1"/>
  <c r="B102" i="1" s="1"/>
  <c r="B100" i="1" a="1"/>
  <c r="B100" i="1" s="1"/>
  <c r="T99" i="1"/>
  <c r="R99" i="1"/>
  <c r="P99" i="1"/>
  <c r="N99" i="1"/>
  <c r="L99" i="1"/>
  <c r="J99" i="1"/>
  <c r="H99" i="1"/>
  <c r="F99" i="1"/>
  <c r="D99" i="1"/>
  <c r="B99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T76" i="1"/>
  <c r="P75" i="1"/>
  <c r="U74" i="1" a="1"/>
  <c r="U74" i="1" s="1"/>
  <c r="T74" i="1" a="1"/>
  <c r="T74" i="1" s="1"/>
  <c r="T75" i="1" s="1"/>
  <c r="S74" i="1" a="1"/>
  <c r="S74" i="1" s="1"/>
  <c r="R74" i="1" a="1"/>
  <c r="R74" i="1" s="1"/>
  <c r="Q74" i="1" a="1"/>
  <c r="Q74" i="1" s="1"/>
  <c r="P74" i="1" a="1"/>
  <c r="P74" i="1" s="1"/>
  <c r="P76" i="1" s="1"/>
  <c r="O74" i="1" a="1"/>
  <c r="O74" i="1" s="1"/>
  <c r="N74" i="1" a="1"/>
  <c r="N74" i="1"/>
  <c r="N76" i="1" s="1"/>
  <c r="M74" i="1" a="1"/>
  <c r="M74" i="1" s="1"/>
  <c r="L74" i="1" a="1"/>
  <c r="L74" i="1" s="1"/>
  <c r="L76" i="1" s="1"/>
  <c r="K74" i="1" a="1"/>
  <c r="K74" i="1" s="1"/>
  <c r="J74" i="1" a="1"/>
  <c r="J74" i="1" s="1"/>
  <c r="I74" i="1" a="1"/>
  <c r="I74" i="1" s="1"/>
  <c r="H75" i="1" s="1"/>
  <c r="H74" i="1" a="1"/>
  <c r="H74" i="1" s="1"/>
  <c r="H76" i="1" s="1"/>
  <c r="G74" i="1" a="1"/>
  <c r="G74" i="1" s="1"/>
  <c r="F74" i="1" a="1"/>
  <c r="F74" i="1"/>
  <c r="E74" i="1" a="1"/>
  <c r="E74" i="1" s="1"/>
  <c r="D74" i="1" a="1"/>
  <c r="D74" i="1" s="1"/>
  <c r="D75" i="1" s="1"/>
  <c r="C74" i="1" a="1"/>
  <c r="C74" i="1" s="1"/>
  <c r="B74" i="1" a="1"/>
  <c r="B74" i="1" s="1"/>
  <c r="T73" i="1"/>
  <c r="R73" i="1"/>
  <c r="P73" i="1"/>
  <c r="N73" i="1"/>
  <c r="L73" i="1"/>
  <c r="J73" i="1"/>
  <c r="H73" i="1"/>
  <c r="F73" i="1"/>
  <c r="D73" i="1"/>
  <c r="B73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U29" i="1" a="1"/>
  <c r="U39" i="1" s="1"/>
  <c r="T29" i="1" a="1"/>
  <c r="T38" i="1" s="1"/>
  <c r="S29" i="1" a="1"/>
  <c r="S39" i="1" s="1"/>
  <c r="R29" i="1" a="1"/>
  <c r="R38" i="1" s="1"/>
  <c r="Q29" i="1" a="1"/>
  <c r="Q34" i="1" s="1"/>
  <c r="P29" i="1" a="1"/>
  <c r="P38" i="1" s="1"/>
  <c r="O29" i="1" a="1"/>
  <c r="O39" i="1" s="1"/>
  <c r="N29" i="1" a="1"/>
  <c r="N38" i="1" s="1"/>
  <c r="M29" i="1" a="1"/>
  <c r="M37" i="1" s="1"/>
  <c r="L29" i="1" a="1"/>
  <c r="L38" i="1" s="1"/>
  <c r="K29" i="1" a="1"/>
  <c r="K37" i="1" s="1"/>
  <c r="J31" i="1"/>
  <c r="J29" i="1" a="1"/>
  <c r="J38" i="1" s="1"/>
  <c r="I29" i="1" a="1"/>
  <c r="H29" i="1" a="1"/>
  <c r="H38" i="1" s="1"/>
  <c r="G29" i="1" a="1"/>
  <c r="G39" i="1" s="1"/>
  <c r="F29" i="1" a="1"/>
  <c r="F36" i="1" s="1"/>
  <c r="E29" i="1" a="1"/>
  <c r="E37" i="1" s="1"/>
  <c r="D29" i="1" a="1"/>
  <c r="D31" i="1" s="1"/>
  <c r="C29" i="1" a="1"/>
  <c r="C31" i="1" s="1"/>
  <c r="B38" i="1"/>
  <c r="B29" i="1" a="1"/>
  <c r="B37" i="1" s="1"/>
  <c r="U22" i="1" a="1"/>
  <c r="U22" i="1" s="1"/>
  <c r="T22" i="1" a="1"/>
  <c r="T22" i="1"/>
  <c r="S22" i="1" a="1"/>
  <c r="S22" i="1" s="1"/>
  <c r="R22" i="1" a="1"/>
  <c r="R22" i="1" s="1"/>
  <c r="Q22" i="1" a="1"/>
  <c r="Q22" i="1" s="1"/>
  <c r="P22" i="1" a="1"/>
  <c r="P22" i="1" s="1"/>
  <c r="O22" i="1" a="1"/>
  <c r="O22" i="1"/>
  <c r="N22" i="1" a="1"/>
  <c r="N22" i="1" s="1"/>
  <c r="M22" i="1" a="1"/>
  <c r="M22" i="1"/>
  <c r="L22" i="1" a="1"/>
  <c r="L22" i="1" s="1"/>
  <c r="K22" i="1" a="1"/>
  <c r="K22" i="1"/>
  <c r="J22" i="1" a="1"/>
  <c r="J22" i="1" s="1"/>
  <c r="I22" i="1" a="1"/>
  <c r="I22" i="1"/>
  <c r="H22" i="1" a="1"/>
  <c r="H22" i="1" s="1"/>
  <c r="G22" i="1" a="1"/>
  <c r="G22" i="1"/>
  <c r="F22" i="1" a="1"/>
  <c r="F22" i="1" s="1"/>
  <c r="E22" i="1" a="1"/>
  <c r="E22" i="1"/>
  <c r="D22" i="1" a="1"/>
  <c r="D22" i="1" s="1"/>
  <c r="C22" i="1" a="1"/>
  <c r="C22" i="1"/>
  <c r="B22" i="1" a="1"/>
  <c r="B22" i="1" s="1"/>
  <c r="T21" i="1"/>
  <c r="R21" i="1"/>
  <c r="P21" i="1"/>
  <c r="N21" i="1"/>
  <c r="L21" i="1"/>
  <c r="J21" i="1"/>
  <c r="H21" i="1"/>
  <c r="F21" i="1"/>
  <c r="D21" i="1"/>
  <c r="B21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P31" i="1" l="1"/>
  <c r="B29" i="1"/>
  <c r="C34" i="1"/>
  <c r="E33" i="1"/>
  <c r="F33" i="1"/>
  <c r="G35" i="1"/>
  <c r="K31" i="1"/>
  <c r="N30" i="1"/>
  <c r="O31" i="1"/>
  <c r="P35" i="1"/>
  <c r="S31" i="1"/>
  <c r="F29" i="1"/>
  <c r="C32" i="1"/>
  <c r="G33" i="1"/>
  <c r="C35" i="1"/>
  <c r="E34" i="1"/>
  <c r="F35" i="1"/>
  <c r="G37" i="1"/>
  <c r="K32" i="1"/>
  <c r="N31" i="1"/>
  <c r="O32" i="1"/>
  <c r="S32" i="1"/>
  <c r="F31" i="1"/>
  <c r="K35" i="1"/>
  <c r="N33" i="1"/>
  <c r="O33" i="1"/>
  <c r="Q31" i="1"/>
  <c r="B31" i="1"/>
  <c r="C37" i="1"/>
  <c r="E35" i="1"/>
  <c r="F37" i="1"/>
  <c r="C39" i="1"/>
  <c r="E39" i="1"/>
  <c r="F38" i="1"/>
  <c r="H30" i="1"/>
  <c r="K39" i="1"/>
  <c r="N35" i="1"/>
  <c r="O34" i="1"/>
  <c r="Q32" i="1"/>
  <c r="N36" i="1"/>
  <c r="O35" i="1"/>
  <c r="Q33" i="1"/>
  <c r="G31" i="1"/>
  <c r="N37" i="1"/>
  <c r="O37" i="1"/>
  <c r="D35" i="1"/>
  <c r="D36" i="1"/>
  <c r="F30" i="1"/>
  <c r="F44" i="1" s="1"/>
  <c r="G32" i="1"/>
  <c r="N29" i="1"/>
  <c r="T24" i="1"/>
  <c r="T23" i="1"/>
  <c r="J76" i="1"/>
  <c r="J75" i="1"/>
  <c r="J24" i="1"/>
  <c r="J23" i="1"/>
  <c r="R76" i="1"/>
  <c r="R75" i="1"/>
  <c r="P24" i="1"/>
  <c r="P23" i="1"/>
  <c r="F24" i="1"/>
  <c r="F23" i="1"/>
  <c r="L23" i="1"/>
  <c r="L24" i="1"/>
  <c r="D24" i="1"/>
  <c r="D23" i="1"/>
  <c r="B23" i="1"/>
  <c r="B24" i="1"/>
  <c r="H24" i="1"/>
  <c r="H23" i="1"/>
  <c r="B76" i="1"/>
  <c r="B75" i="1"/>
  <c r="I38" i="1"/>
  <c r="I30" i="1"/>
  <c r="I36" i="1"/>
  <c r="I29" i="1"/>
  <c r="J29" i="1"/>
  <c r="L36" i="1"/>
  <c r="M34" i="1"/>
  <c r="P30" i="1"/>
  <c r="Q38" i="1"/>
  <c r="Q30" i="1"/>
  <c r="Q36" i="1"/>
  <c r="Q29" i="1"/>
  <c r="R29" i="1"/>
  <c r="S37" i="1"/>
  <c r="T36" i="1"/>
  <c r="U34" i="1"/>
  <c r="D102" i="1"/>
  <c r="P101" i="1"/>
  <c r="R34" i="1"/>
  <c r="R32" i="1"/>
  <c r="R39" i="1"/>
  <c r="T37" i="1"/>
  <c r="U35" i="1"/>
  <c r="L75" i="1"/>
  <c r="R101" i="1"/>
  <c r="G17" i="2"/>
  <c r="G20" i="2"/>
  <c r="G16" i="2"/>
  <c r="K3" i="2"/>
  <c r="R24" i="1"/>
  <c r="R23" i="1"/>
  <c r="B34" i="1"/>
  <c r="B32" i="1"/>
  <c r="B39" i="1"/>
  <c r="D37" i="1"/>
  <c r="H31" i="1"/>
  <c r="I31" i="1"/>
  <c r="J34" i="1"/>
  <c r="J32" i="1"/>
  <c r="J39" i="1"/>
  <c r="L37" i="1"/>
  <c r="M35" i="1"/>
  <c r="N24" i="1"/>
  <c r="B30" i="1"/>
  <c r="C38" i="1"/>
  <c r="C30" i="1"/>
  <c r="C36" i="1"/>
  <c r="C29" i="1"/>
  <c r="D29" i="1"/>
  <c r="D38" i="1"/>
  <c r="G34" i="1"/>
  <c r="H33" i="1"/>
  <c r="I32" i="1"/>
  <c r="J30" i="1"/>
  <c r="K38" i="1"/>
  <c r="K30" i="1"/>
  <c r="K36" i="1"/>
  <c r="K29" i="1"/>
  <c r="L29" i="1"/>
  <c r="P33" i="1"/>
  <c r="R30" i="1"/>
  <c r="S38" i="1"/>
  <c r="S30" i="1"/>
  <c r="S36" i="1"/>
  <c r="S29" i="1"/>
  <c r="T29" i="1"/>
  <c r="U37" i="1"/>
  <c r="F75" i="1"/>
  <c r="F76" i="1"/>
  <c r="F15" i="3"/>
  <c r="F18" i="3"/>
  <c r="T34" i="1"/>
  <c r="T32" i="1"/>
  <c r="T39" i="1"/>
  <c r="L102" i="1"/>
  <c r="I20" i="2"/>
  <c r="I16" i="2"/>
  <c r="I19" i="2"/>
  <c r="I15" i="2"/>
  <c r="I17" i="2"/>
  <c r="F17" i="3"/>
  <c r="F21" i="3"/>
  <c r="F20" i="3"/>
  <c r="F16" i="3"/>
  <c r="J3" i="3"/>
  <c r="M38" i="1"/>
  <c r="M30" i="1"/>
  <c r="M36" i="1"/>
  <c r="M29" i="1"/>
  <c r="P36" i="1"/>
  <c r="R33" i="1"/>
  <c r="T30" i="1"/>
  <c r="U38" i="1"/>
  <c r="U30" i="1"/>
  <c r="U36" i="1"/>
  <c r="U29" i="1"/>
  <c r="N75" i="1"/>
  <c r="N102" i="1"/>
  <c r="N101" i="1"/>
  <c r="T102" i="1"/>
  <c r="J21" i="2"/>
  <c r="J19" i="2"/>
  <c r="J15" i="2"/>
  <c r="J17" i="2"/>
  <c r="J20" i="2"/>
  <c r="J16" i="2"/>
  <c r="L34" i="1"/>
  <c r="L32" i="1"/>
  <c r="L39" i="1"/>
  <c r="M39" i="1"/>
  <c r="E38" i="1"/>
  <c r="E30" i="1"/>
  <c r="E36" i="1"/>
  <c r="E29" i="1"/>
  <c r="N23" i="1"/>
  <c r="B35" i="1"/>
  <c r="C33" i="1"/>
  <c r="E31" i="1"/>
  <c r="F34" i="1"/>
  <c r="F32" i="1"/>
  <c r="F39" i="1"/>
  <c r="H37" i="1"/>
  <c r="I35" i="1"/>
  <c r="J35" i="1"/>
  <c r="K33" i="1"/>
  <c r="L31" i="1"/>
  <c r="M31" i="1"/>
  <c r="N34" i="1"/>
  <c r="N32" i="1"/>
  <c r="N39" i="1"/>
  <c r="P37" i="1"/>
  <c r="Q35" i="1"/>
  <c r="R35" i="1"/>
  <c r="S33" i="1"/>
  <c r="T31" i="1"/>
  <c r="U31" i="1"/>
  <c r="D76" i="1"/>
  <c r="B101" i="1"/>
  <c r="H102" i="1"/>
  <c r="H101" i="1"/>
  <c r="R102" i="1"/>
  <c r="H20" i="3"/>
  <c r="H16" i="3"/>
  <c r="H21" i="3"/>
  <c r="H19" i="3"/>
  <c r="H15" i="3"/>
  <c r="H17" i="3"/>
  <c r="D34" i="1"/>
  <c r="D32" i="1"/>
  <c r="D39" i="1"/>
  <c r="H35" i="1"/>
  <c r="I33" i="1"/>
  <c r="R31" i="1"/>
  <c r="B33" i="1"/>
  <c r="D30" i="1"/>
  <c r="F41" i="1"/>
  <c r="H36" i="1"/>
  <c r="I34" i="1"/>
  <c r="J33" i="1"/>
  <c r="L30" i="1"/>
  <c r="B36" i="1"/>
  <c r="D33" i="1"/>
  <c r="E32" i="1"/>
  <c r="G38" i="1"/>
  <c r="G30" i="1"/>
  <c r="G36" i="1"/>
  <c r="G29" i="1"/>
  <c r="H29" i="1"/>
  <c r="I37" i="1"/>
  <c r="J36" i="1"/>
  <c r="K34" i="1"/>
  <c r="L33" i="1"/>
  <c r="M32" i="1"/>
  <c r="O38" i="1"/>
  <c r="O30" i="1"/>
  <c r="O36" i="1"/>
  <c r="O29" i="1"/>
  <c r="O48" i="1" s="1" a="1"/>
  <c r="O48" i="1" s="1"/>
  <c r="P29" i="1"/>
  <c r="Q37" i="1"/>
  <c r="R36" i="1"/>
  <c r="S34" i="1"/>
  <c r="T33" i="1"/>
  <c r="U32" i="1"/>
  <c r="D101" i="1"/>
  <c r="G19" i="2"/>
  <c r="I19" i="3"/>
  <c r="I15" i="3"/>
  <c r="I17" i="3"/>
  <c r="I20" i="3"/>
  <c r="I16" i="3"/>
  <c r="H34" i="1"/>
  <c r="H32" i="1"/>
  <c r="H39" i="1"/>
  <c r="I39" i="1"/>
  <c r="J37" i="1"/>
  <c r="L35" i="1"/>
  <c r="M33" i="1"/>
  <c r="P34" i="1"/>
  <c r="P32" i="1"/>
  <c r="P39" i="1"/>
  <c r="Q39" i="1"/>
  <c r="R37" i="1"/>
  <c r="S35" i="1"/>
  <c r="T35" i="1"/>
  <c r="U33" i="1"/>
  <c r="J101" i="1"/>
  <c r="J102" i="1"/>
  <c r="F101" i="1"/>
  <c r="G15" i="2"/>
  <c r="G18" i="2"/>
  <c r="D15" i="2"/>
  <c r="H17" i="2"/>
  <c r="D19" i="2"/>
  <c r="K15" i="3"/>
  <c r="G17" i="3"/>
  <c r="E18" i="3"/>
  <c r="K19" i="3"/>
  <c r="D16" i="2"/>
  <c r="H18" i="2"/>
  <c r="D20" i="2"/>
  <c r="K16" i="3"/>
  <c r="K20" i="3"/>
  <c r="D21" i="3"/>
  <c r="E17" i="2"/>
  <c r="D17" i="3"/>
  <c r="F43" i="1" l="1"/>
  <c r="F45" i="1"/>
  <c r="B45" i="1"/>
  <c r="F42" i="1"/>
  <c r="F47" i="1"/>
  <c r="N46" i="1"/>
  <c r="N43" i="1"/>
  <c r="B43" i="1"/>
  <c r="G48" i="1" a="1"/>
  <c r="G48" i="1" s="1"/>
  <c r="F46" i="1"/>
  <c r="P45" i="1"/>
  <c r="P43" i="1"/>
  <c r="P41" i="1"/>
  <c r="P42" i="1"/>
  <c r="Q48" i="1" a="1"/>
  <c r="Q48" i="1" s="1"/>
  <c r="P44" i="1"/>
  <c r="P48" i="1" a="1"/>
  <c r="P48" i="1" s="1"/>
  <c r="P47" i="1"/>
  <c r="P46" i="1"/>
  <c r="N42" i="1"/>
  <c r="N41" i="1"/>
  <c r="J21" i="3"/>
  <c r="J19" i="3"/>
  <c r="J15" i="3"/>
  <c r="J18" i="3"/>
  <c r="J20" i="3"/>
  <c r="J17" i="3"/>
  <c r="J16" i="3"/>
  <c r="C41" i="1"/>
  <c r="C42" i="1"/>
  <c r="C43" i="1"/>
  <c r="C44" i="1"/>
  <c r="C45" i="1"/>
  <c r="C46" i="1"/>
  <c r="R46" i="1"/>
  <c r="R44" i="1"/>
  <c r="R42" i="1"/>
  <c r="R48" i="1" a="1"/>
  <c r="R48" i="1" s="1"/>
  <c r="R43" i="1"/>
  <c r="R47" i="1"/>
  <c r="R45" i="1"/>
  <c r="S48" i="1" a="1"/>
  <c r="S48" i="1" s="1"/>
  <c r="R41" i="1"/>
  <c r="J47" i="1"/>
  <c r="J46" i="1"/>
  <c r="J44" i="1"/>
  <c r="J42" i="1"/>
  <c r="J45" i="1"/>
  <c r="K48" i="1" a="1"/>
  <c r="K48" i="1" s="1"/>
  <c r="J48" i="1" a="1"/>
  <c r="J48" i="1" s="1"/>
  <c r="J41" i="1"/>
  <c r="J43" i="1"/>
  <c r="S43" i="1"/>
  <c r="S44" i="1"/>
  <c r="S45" i="1"/>
  <c r="S46" i="1"/>
  <c r="S41" i="1"/>
  <c r="S42" i="1"/>
  <c r="B48" i="1" a="1"/>
  <c r="B48" i="1" s="1"/>
  <c r="B47" i="1"/>
  <c r="O41" i="1"/>
  <c r="O42" i="1"/>
  <c r="O43" i="1"/>
  <c r="O44" i="1"/>
  <c r="O45" i="1"/>
  <c r="O46" i="1"/>
  <c r="U45" i="1"/>
  <c r="U44" i="1"/>
  <c r="U46" i="1"/>
  <c r="U41" i="1"/>
  <c r="U43" i="1"/>
  <c r="U42" i="1"/>
  <c r="N48" i="1" a="1"/>
  <c r="N48" i="1" s="1"/>
  <c r="C48" i="1" a="1"/>
  <c r="C48" i="1" s="1"/>
  <c r="Q42" i="1"/>
  <c r="Q41" i="1"/>
  <c r="Q44" i="1"/>
  <c r="Q43" i="1"/>
  <c r="Q46" i="1"/>
  <c r="Q45" i="1"/>
  <c r="I44" i="1"/>
  <c r="I43" i="1"/>
  <c r="I46" i="1"/>
  <c r="I45" i="1"/>
  <c r="I42" i="1"/>
  <c r="I41" i="1"/>
  <c r="B41" i="1"/>
  <c r="H45" i="1"/>
  <c r="H43" i="1"/>
  <c r="H41" i="1"/>
  <c r="H48" i="1" a="1"/>
  <c r="H48" i="1" s="1"/>
  <c r="H44" i="1"/>
  <c r="H46" i="1"/>
  <c r="I48" i="1" a="1"/>
  <c r="I48" i="1" s="1"/>
  <c r="H47" i="1"/>
  <c r="H42" i="1"/>
  <c r="E41" i="1"/>
  <c r="E43" i="1"/>
  <c r="E42" i="1"/>
  <c r="E45" i="1"/>
  <c r="E44" i="1"/>
  <c r="E46" i="1"/>
  <c r="B42" i="1"/>
  <c r="N45" i="1"/>
  <c r="K45" i="1"/>
  <c r="K46" i="1"/>
  <c r="K41" i="1"/>
  <c r="K42" i="1"/>
  <c r="K43" i="1"/>
  <c r="K44" i="1"/>
  <c r="G42" i="1"/>
  <c r="G43" i="1"/>
  <c r="G44" i="1"/>
  <c r="G45" i="1"/>
  <c r="G46" i="1"/>
  <c r="G41" i="1"/>
  <c r="B44" i="1"/>
  <c r="N47" i="1"/>
  <c r="N44" i="1"/>
  <c r="K19" i="2"/>
  <c r="K15" i="2"/>
  <c r="K18" i="2"/>
  <c r="K16" i="2"/>
  <c r="K20" i="2"/>
  <c r="K17" i="2"/>
  <c r="D46" i="1"/>
  <c r="D44" i="1"/>
  <c r="D42" i="1"/>
  <c r="D47" i="1"/>
  <c r="D41" i="1"/>
  <c r="D43" i="1"/>
  <c r="E48" i="1" a="1"/>
  <c r="E48" i="1" s="1"/>
  <c r="D45" i="1"/>
  <c r="D48" i="1" a="1"/>
  <c r="D48" i="1" s="1"/>
  <c r="B46" i="1"/>
  <c r="M46" i="1"/>
  <c r="M41" i="1"/>
  <c r="M43" i="1"/>
  <c r="M42" i="1"/>
  <c r="M45" i="1"/>
  <c r="M44" i="1"/>
  <c r="F48" i="1" a="1"/>
  <c r="F48" i="1" s="1"/>
  <c r="T46" i="1"/>
  <c r="T44" i="1"/>
  <c r="T42" i="1"/>
  <c r="T45" i="1"/>
  <c r="T47" i="1"/>
  <c r="U48" i="1" a="1"/>
  <c r="U48" i="1" s="1"/>
  <c r="T41" i="1"/>
  <c r="T48" i="1" a="1"/>
  <c r="T48" i="1" s="1"/>
  <c r="T43" i="1"/>
  <c r="L46" i="1"/>
  <c r="L44" i="1"/>
  <c r="L42" i="1"/>
  <c r="M48" i="1" a="1"/>
  <c r="M48" i="1" s="1"/>
  <c r="L48" i="1" a="1"/>
  <c r="L48" i="1" s="1"/>
  <c r="L41" i="1"/>
  <c r="L47" i="1"/>
  <c r="L43" i="1"/>
  <c r="L45" i="1"/>
  <c r="J49" i="1" l="1"/>
  <c r="J50" i="1"/>
  <c r="P50" i="1"/>
  <c r="P49" i="1"/>
  <c r="N50" i="1"/>
  <c r="N49" i="1"/>
  <c r="T49" i="1"/>
  <c r="T50" i="1"/>
  <c r="D49" i="1"/>
  <c r="D50" i="1"/>
  <c r="R50" i="1"/>
  <c r="R49" i="1"/>
  <c r="F50" i="1"/>
  <c r="F49" i="1"/>
  <c r="L50" i="1"/>
  <c r="L49" i="1"/>
  <c r="H49" i="1"/>
  <c r="H50" i="1"/>
  <c r="B50" i="1"/>
  <c r="B49" i="1"/>
</calcChain>
</file>

<file path=xl/sharedStrings.xml><?xml version="1.0" encoding="utf-8"?>
<sst xmlns="http://schemas.openxmlformats.org/spreadsheetml/2006/main" count="122" uniqueCount="28">
  <si>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</si>
  <si>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</si>
  <si>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</si>
  <si>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</si>
  <si>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</si>
  <si>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</si>
  <si>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</si>
  <si>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</si>
  <si>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</si>
  <si>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</si>
  <si>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Mean</t>
  </si>
  <si>
    <t>Vola</t>
  </si>
  <si>
    <t>Skewness</t>
  </si>
  <si>
    <t>Kurtosis</t>
  </si>
  <si>
    <t>Min</t>
  </si>
  <si>
    <t>Max</t>
  </si>
  <si>
    <t>Corr</t>
  </si>
  <si>
    <t>F(out)</t>
  </si>
  <si>
    <t>Tilt</t>
  </si>
  <si>
    <t>Max F(out)</t>
  </si>
  <si>
    <t>Variation 1: Random allocation of outcomes to situations by alternative (e.g., column B independent of column C)</t>
  </si>
  <si>
    <t>Situation</t>
  </si>
  <si>
    <t>Variation 2.1: Random allocation of outcomes to situations by state (e.g., same-row observations in column B and column C form an outcome pair that cannot be broken up, so that the structure of dependence is fixed)</t>
  </si>
  <si>
    <t>Variation 2.2: Random allocation of outcomes to situations by state (e.g., same-row observations in column B and column C form an outcome pair that cannot be broken up, so that the structure of dependence is fixed)</t>
  </si>
  <si>
    <t>Round Thresholds: FREQ_THRES_L / TAIL_THRES_L / TAIL_THRES_H per distribution (same threshold used for both alternatives in a round that draws this distribution; edit the numbers below directly - no code changes needed)</t>
  </si>
  <si>
    <t>FREQ_THRES_L</t>
  </si>
  <si>
    <t>TAIL_THRES_L</t>
  </si>
  <si>
    <t>TAIL_THRES_H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</si>
</sst>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right"/>
    </xf>
    <xf numFmtId="0" fontId="0" fillId="2" borderId="0" xfId="0" applyFill="1"/>
    <xf numFmtId="2" fontId="0" fillId="2" borderId="0" xfId="0" applyNumberFormat="1" applyFill="1"/>
    <xf numFmtId="0" fontId="0" fillId="0" borderId="0" xfId="0" quotePrefix="1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09"/>
  <sheetViews>
    <sheetView tabSelected="1" topLeftCell="A32" zoomScale="59" workbookViewId="0">
      <selection activeCell="A104" sqref="A104"/>
    </sheetView>
  </sheetViews>
  <sheetFormatPr defaultRowHeight="14.5" x14ac:dyDescent="0.35"/>
  <cols>
    <col min="1" max="1" width="198.81640625" bestFit="1" customWidth="1"/>
  </cols>
  <sheetData>
    <row r="2" spans="1:21" x14ac:dyDescent="0.35">
      <c r="A2" s="2"/>
      <c r="B2" s="11" t="s">
        <v>0</v>
      </c>
      <c r="C2" s="12"/>
      <c r="D2" s="11" t="s">
        <v>1</v>
      </c>
      <c r="E2" s="12"/>
      <c r="F2" s="11" t="s">
        <v>2</v>
      </c>
      <c r="G2" s="12"/>
      <c r="H2" s="11" t="s">
        <v>3</v>
      </c>
      <c r="I2" s="12"/>
      <c r="J2" s="11" t="s">
        <v>4</v>
      </c>
      <c r="K2" s="12"/>
      <c r="L2" s="11" t="s">
        <v>5</v>
      </c>
      <c r="M2" s="12"/>
      <c r="N2" s="11" t="s">
        <v>6</v>
      </c>
      <c r="O2" s="12"/>
      <c r="P2" s="11" t="s">
        <v>7</v>
      </c>
      <c r="Q2" s="12"/>
      <c r="R2" s="11" t="s">
        <v>8</v>
      </c>
      <c r="S2" s="12"/>
      <c r="T2" s="11" t="s">
        <v>9</v>
      </c>
      <c r="U2" s="12"/>
    </row>
    <row r="3" spans="1:21" x14ac:dyDescent="0.35">
      <c r="B3" s="1">
        <v>0</v>
      </c>
      <c r="C3" s="1">
        <v>0.5</v>
      </c>
      <c r="D3" s="1">
        <v>-1</v>
      </c>
      <c r="E3" s="1">
        <v>-0.5</v>
      </c>
      <c r="F3" s="1">
        <v>-2</v>
      </c>
      <c r="G3" s="1">
        <v>-1.5</v>
      </c>
      <c r="H3" s="1">
        <v>0.1</v>
      </c>
      <c r="I3" s="1">
        <v>0.6</v>
      </c>
      <c r="J3" s="1">
        <v>-2.1</v>
      </c>
      <c r="K3" s="1">
        <v>-1.6</v>
      </c>
      <c r="L3" s="1">
        <v>0.85</v>
      </c>
      <c r="M3" s="1">
        <v>1.05</v>
      </c>
      <c r="N3" s="1">
        <v>-0.15</v>
      </c>
      <c r="O3" s="1">
        <v>5.0000000000000037E-2</v>
      </c>
      <c r="P3" s="1">
        <v>-1.1499999999999999</v>
      </c>
      <c r="Q3" s="1">
        <v>-0.95</v>
      </c>
      <c r="R3" s="1">
        <v>0.95</v>
      </c>
      <c r="S3" s="1">
        <v>1.1499999999999999</v>
      </c>
      <c r="T3" s="1">
        <v>-1.25</v>
      </c>
      <c r="U3" s="1">
        <v>-1.05</v>
      </c>
    </row>
    <row r="4" spans="1:21" x14ac:dyDescent="0.35">
      <c r="B4" s="1">
        <v>0.2</v>
      </c>
      <c r="C4" s="1">
        <v>0.6</v>
      </c>
      <c r="D4" s="1">
        <v>-0.8</v>
      </c>
      <c r="E4" s="1">
        <v>-0.4</v>
      </c>
      <c r="F4" s="1">
        <v>-1.8</v>
      </c>
      <c r="G4" s="1">
        <v>-1.4</v>
      </c>
      <c r="H4" s="1">
        <v>0.3</v>
      </c>
      <c r="I4" s="1">
        <v>0.7</v>
      </c>
      <c r="J4" s="1">
        <v>-1.9</v>
      </c>
      <c r="K4" s="1">
        <v>-1.5</v>
      </c>
      <c r="L4" s="1">
        <v>0.86</v>
      </c>
      <c r="M4" s="1">
        <v>1.06</v>
      </c>
      <c r="N4" s="1">
        <v>-0.14000000000000001</v>
      </c>
      <c r="O4" s="1">
        <v>6.0000000000000053E-2</v>
      </c>
      <c r="P4" s="1">
        <v>-1.1399999999999999</v>
      </c>
      <c r="Q4" s="1">
        <v>-0.94</v>
      </c>
      <c r="R4" s="1">
        <v>0.96</v>
      </c>
      <c r="S4" s="1">
        <v>1.1599999999999999</v>
      </c>
      <c r="T4" s="1">
        <v>-1.24</v>
      </c>
      <c r="U4" s="1">
        <v>-1.04</v>
      </c>
    </row>
    <row r="5" spans="1:21" x14ac:dyDescent="0.35">
      <c r="B5" s="1">
        <v>0.4</v>
      </c>
      <c r="C5" s="1">
        <v>0.7</v>
      </c>
      <c r="D5" s="1">
        <v>-0.6</v>
      </c>
      <c r="E5" s="1">
        <v>-0.3</v>
      </c>
      <c r="F5" s="1">
        <v>-1.6</v>
      </c>
      <c r="G5" s="1">
        <v>-1.3</v>
      </c>
      <c r="H5" s="1">
        <v>0.5</v>
      </c>
      <c r="I5" s="1">
        <v>0.79999999999999993</v>
      </c>
      <c r="J5" s="1">
        <v>-1.7</v>
      </c>
      <c r="K5" s="1">
        <v>-1.4</v>
      </c>
      <c r="L5" s="1">
        <v>0.87</v>
      </c>
      <c r="M5" s="1">
        <v>1.07</v>
      </c>
      <c r="N5" s="1">
        <v>-0.13</v>
      </c>
      <c r="O5" s="1">
        <v>7.0000000000000062E-2</v>
      </c>
      <c r="P5" s="1">
        <v>-1.1299999999999999</v>
      </c>
      <c r="Q5" s="1">
        <v>-0.92999999999999994</v>
      </c>
      <c r="R5" s="1">
        <v>0.97</v>
      </c>
      <c r="S5" s="1">
        <v>1.17</v>
      </c>
      <c r="T5" s="1">
        <v>-1.23</v>
      </c>
      <c r="U5" s="1">
        <v>-1.03</v>
      </c>
    </row>
    <row r="6" spans="1:21" x14ac:dyDescent="0.35">
      <c r="B6" s="1">
        <v>0.60000000000000009</v>
      </c>
      <c r="C6" s="1">
        <v>0.79999999999999993</v>
      </c>
      <c r="D6" s="1">
        <v>-0.39999999999999991</v>
      </c>
      <c r="E6" s="1">
        <v>-0.20000000000000009</v>
      </c>
      <c r="F6" s="1">
        <v>-1.4</v>
      </c>
      <c r="G6" s="1">
        <v>-1.2</v>
      </c>
      <c r="H6" s="1">
        <v>0.70000000000000007</v>
      </c>
      <c r="I6" s="1">
        <v>0.89999999999999991</v>
      </c>
      <c r="J6" s="1">
        <v>-1.5</v>
      </c>
      <c r="K6" s="1">
        <v>-1.3</v>
      </c>
      <c r="L6" s="1">
        <v>0.88</v>
      </c>
      <c r="M6" s="1">
        <v>1.08</v>
      </c>
      <c r="N6" s="1">
        <v>-0.12</v>
      </c>
      <c r="O6" s="1">
        <v>8.0000000000000071E-2</v>
      </c>
      <c r="P6" s="1">
        <v>-1.1200000000000001</v>
      </c>
      <c r="Q6" s="1">
        <v>-0.91999999999999993</v>
      </c>
      <c r="R6" s="1">
        <v>0.98</v>
      </c>
      <c r="S6" s="1">
        <v>1.18</v>
      </c>
      <c r="T6" s="1">
        <v>-1.22</v>
      </c>
      <c r="U6" s="1">
        <v>-1.02</v>
      </c>
    </row>
    <row r="7" spans="1:21" x14ac:dyDescent="0.35">
      <c r="B7" s="1">
        <v>0.8</v>
      </c>
      <c r="C7" s="1">
        <v>0.89999999999999991</v>
      </c>
      <c r="D7" s="1">
        <v>-0.2</v>
      </c>
      <c r="E7" s="1">
        <v>-0.1000000000000001</v>
      </c>
      <c r="F7" s="1">
        <v>-1.2</v>
      </c>
      <c r="G7" s="1">
        <v>-1.1000000000000001</v>
      </c>
      <c r="H7" s="1">
        <v>0.9</v>
      </c>
      <c r="I7" s="1">
        <v>0.99999999999999989</v>
      </c>
      <c r="J7" s="1">
        <v>-1.3</v>
      </c>
      <c r="K7" s="1">
        <v>-1.2</v>
      </c>
      <c r="L7" s="1">
        <v>0.89</v>
      </c>
      <c r="M7" s="1">
        <v>1.0900000000000001</v>
      </c>
      <c r="N7" s="1">
        <v>-0.11</v>
      </c>
      <c r="O7" s="1">
        <v>9.000000000000008E-2</v>
      </c>
      <c r="P7" s="1">
        <v>-1.1100000000000001</v>
      </c>
      <c r="Q7" s="1">
        <v>-0.90999999999999992</v>
      </c>
      <c r="R7" s="1">
        <v>0.99</v>
      </c>
      <c r="S7" s="1">
        <v>1.19</v>
      </c>
      <c r="T7" s="1">
        <v>-1.21</v>
      </c>
      <c r="U7" s="1">
        <v>-1.01</v>
      </c>
    </row>
    <row r="8" spans="1:21" x14ac:dyDescent="0.35">
      <c r="B8" s="1">
        <v>1</v>
      </c>
      <c r="C8" s="1">
        <v>0.99999999999999989</v>
      </c>
      <c r="D8" s="1">
        <v>0</v>
      </c>
      <c r="E8" s="1">
        <v>0</v>
      </c>
      <c r="F8" s="1">
        <v>-1</v>
      </c>
      <c r="G8" s="1">
        <v>-1</v>
      </c>
      <c r="H8" s="1">
        <v>1.1000000000000001</v>
      </c>
      <c r="I8" s="1">
        <v>1.1000000000000001</v>
      </c>
      <c r="J8" s="1">
        <v>-1.1000000000000001</v>
      </c>
      <c r="K8" s="1">
        <v>-1.1000000000000001</v>
      </c>
      <c r="L8" s="1">
        <v>0.91</v>
      </c>
      <c r="M8" s="1">
        <v>1.1100000000000001</v>
      </c>
      <c r="N8" s="1">
        <v>-8.9999999999999969E-2</v>
      </c>
      <c r="O8" s="1">
        <v>0.1100000000000001</v>
      </c>
      <c r="P8" s="1">
        <v>-1.0900000000000001</v>
      </c>
      <c r="Q8" s="1">
        <v>-0.8899999999999999</v>
      </c>
      <c r="R8" s="1">
        <v>1.01</v>
      </c>
      <c r="S8" s="1">
        <v>1.21</v>
      </c>
      <c r="T8" s="1">
        <v>-1.19</v>
      </c>
      <c r="U8" s="1">
        <v>-0.98999999999999988</v>
      </c>
    </row>
    <row r="9" spans="1:21" x14ac:dyDescent="0.35">
      <c r="B9" s="1">
        <v>1.2</v>
      </c>
      <c r="C9" s="1">
        <v>1.1000000000000001</v>
      </c>
      <c r="D9" s="1">
        <v>0.2</v>
      </c>
      <c r="E9" s="1">
        <v>9.9999999999999867E-2</v>
      </c>
      <c r="F9" s="1">
        <v>-0.8</v>
      </c>
      <c r="G9" s="1">
        <v>-0.90000000000000013</v>
      </c>
      <c r="H9" s="1">
        <v>1.3</v>
      </c>
      <c r="I9" s="1">
        <v>1.2</v>
      </c>
      <c r="J9" s="1">
        <v>-0.9</v>
      </c>
      <c r="K9" s="1">
        <v>-1</v>
      </c>
      <c r="L9" s="1">
        <v>0.92</v>
      </c>
      <c r="M9" s="1">
        <v>1.1200000000000001</v>
      </c>
      <c r="N9" s="1">
        <v>-7.999999999999996E-2</v>
      </c>
      <c r="O9" s="1">
        <v>0.12000000000000011</v>
      </c>
      <c r="P9" s="1">
        <v>-1.08</v>
      </c>
      <c r="Q9" s="1">
        <v>-0.87999999999999989</v>
      </c>
      <c r="R9" s="1">
        <v>1.02</v>
      </c>
      <c r="S9" s="1">
        <v>1.22</v>
      </c>
      <c r="T9" s="1">
        <v>-1.18</v>
      </c>
      <c r="U9" s="1">
        <v>-0.97999999999999987</v>
      </c>
    </row>
    <row r="10" spans="1:21" x14ac:dyDescent="0.35">
      <c r="B10" s="1">
        <v>1.4</v>
      </c>
      <c r="C10" s="1">
        <v>1.2</v>
      </c>
      <c r="D10" s="1">
        <v>0.39999999999999991</v>
      </c>
      <c r="E10" s="1">
        <v>0.2</v>
      </c>
      <c r="F10" s="1">
        <v>-0.60000000000000009</v>
      </c>
      <c r="G10" s="1">
        <v>-0.8</v>
      </c>
      <c r="H10" s="1">
        <v>1.5</v>
      </c>
      <c r="I10" s="1">
        <v>1.3</v>
      </c>
      <c r="J10" s="1">
        <v>-0.70000000000000007</v>
      </c>
      <c r="K10" s="1">
        <v>-0.9</v>
      </c>
      <c r="L10" s="1">
        <v>0.93</v>
      </c>
      <c r="M10" s="1">
        <v>1.1299999999999999</v>
      </c>
      <c r="N10" s="1">
        <v>-6.9999999999999951E-2</v>
      </c>
      <c r="O10" s="1">
        <v>0.13000000000000009</v>
      </c>
      <c r="P10" s="1">
        <v>-1.07</v>
      </c>
      <c r="Q10" s="1">
        <v>-0.86999999999999988</v>
      </c>
      <c r="R10" s="1">
        <v>1.03</v>
      </c>
      <c r="S10" s="1">
        <v>1.23</v>
      </c>
      <c r="T10" s="1">
        <v>-1.17</v>
      </c>
      <c r="U10" s="1">
        <v>-0.96999999999999986</v>
      </c>
    </row>
    <row r="11" spans="1:21" x14ac:dyDescent="0.35">
      <c r="B11" s="1">
        <v>1.6</v>
      </c>
      <c r="C11" s="1">
        <v>1.3</v>
      </c>
      <c r="D11" s="1">
        <v>0.59999999999999987</v>
      </c>
      <c r="E11" s="1">
        <v>0.3</v>
      </c>
      <c r="F11" s="1">
        <v>-0.40000000000000008</v>
      </c>
      <c r="G11" s="1">
        <v>-0.7</v>
      </c>
      <c r="H11" s="1">
        <v>1.7</v>
      </c>
      <c r="I11" s="1">
        <v>1.4</v>
      </c>
      <c r="J11" s="1">
        <v>-0.50000000000000011</v>
      </c>
      <c r="K11" s="1">
        <v>-0.79999999999999993</v>
      </c>
      <c r="L11" s="1">
        <v>0.94000000000000006</v>
      </c>
      <c r="M11" s="1">
        <v>1.1399999999999999</v>
      </c>
      <c r="N11" s="1">
        <v>-5.9999999999999942E-2</v>
      </c>
      <c r="O11" s="1">
        <v>0.1400000000000001</v>
      </c>
      <c r="P11" s="1">
        <v>-1.06</v>
      </c>
      <c r="Q11" s="1">
        <v>-0.85999999999999988</v>
      </c>
      <c r="R11" s="1">
        <v>1.04</v>
      </c>
      <c r="S11" s="1">
        <v>1.24</v>
      </c>
      <c r="T11" s="1">
        <v>-1.1599999999999999</v>
      </c>
      <c r="U11" s="1">
        <v>-0.95999999999999985</v>
      </c>
    </row>
    <row r="12" spans="1:21" x14ac:dyDescent="0.35">
      <c r="B12" s="1">
        <v>1.8</v>
      </c>
      <c r="C12" s="1">
        <v>1.4</v>
      </c>
      <c r="D12" s="1">
        <v>0.79999999999999982</v>
      </c>
      <c r="E12" s="1">
        <v>0.40000000000000008</v>
      </c>
      <c r="F12" s="1">
        <v>-0.20000000000000021</v>
      </c>
      <c r="G12" s="1">
        <v>-0.59999999999999987</v>
      </c>
      <c r="H12" s="1">
        <v>1.9</v>
      </c>
      <c r="I12" s="1">
        <v>1.5</v>
      </c>
      <c r="J12" s="1">
        <v>-0.30000000000000021</v>
      </c>
      <c r="K12" s="1">
        <v>-0.69999999999999984</v>
      </c>
      <c r="L12" s="1">
        <v>0.95000000000000007</v>
      </c>
      <c r="M12" s="1">
        <v>1.1499999999999999</v>
      </c>
      <c r="N12" s="1">
        <v>-4.9999999999999933E-2</v>
      </c>
      <c r="O12" s="1">
        <v>0.15000000000000011</v>
      </c>
      <c r="P12" s="1">
        <v>-1.05</v>
      </c>
      <c r="Q12" s="1">
        <v>-0.84999999999999987</v>
      </c>
      <c r="R12" s="1">
        <v>1.05</v>
      </c>
      <c r="S12" s="1">
        <v>1.25</v>
      </c>
      <c r="T12" s="1">
        <v>-1.1499999999999999</v>
      </c>
      <c r="U12" s="1">
        <v>-0.94999999999999984</v>
      </c>
    </row>
    <row r="13" spans="1:21" x14ac:dyDescent="0.35">
      <c r="B13" s="1">
        <v>2</v>
      </c>
      <c r="C13" s="1">
        <v>1.5</v>
      </c>
      <c r="D13" s="1">
        <v>0.99999999999999978</v>
      </c>
      <c r="E13" s="1">
        <v>0.50000000000000022</v>
      </c>
      <c r="F13" s="1">
        <v>0</v>
      </c>
      <c r="G13" s="1">
        <v>-0.49999999999999978</v>
      </c>
      <c r="H13" s="1">
        <v>2.1</v>
      </c>
      <c r="I13" s="1">
        <v>1.6</v>
      </c>
      <c r="J13" s="1">
        <v>-0.1</v>
      </c>
      <c r="K13" s="1">
        <v>-0.59999999999999976</v>
      </c>
      <c r="L13" s="1">
        <v>2</v>
      </c>
      <c r="M13" s="1">
        <v>0</v>
      </c>
      <c r="N13" s="1">
        <v>1</v>
      </c>
      <c r="O13" s="1">
        <v>-1</v>
      </c>
      <c r="P13" s="1">
        <v>0</v>
      </c>
      <c r="Q13" s="1">
        <v>-2</v>
      </c>
      <c r="R13" s="1">
        <v>2.1</v>
      </c>
      <c r="S13" s="1">
        <v>0.1</v>
      </c>
      <c r="T13" s="1">
        <v>-0.1</v>
      </c>
      <c r="U13" s="1">
        <v>-2.1</v>
      </c>
    </row>
    <row r="15" spans="1:21" x14ac:dyDescent="0.35">
      <c r="A15" t="s">
        <v>10</v>
      </c>
      <c r="B15" s="1">
        <f t="shared" ref="B15:U15" si="0">AVERAGE(B3:B13)</f>
        <v>1</v>
      </c>
      <c r="C15" s="1">
        <f t="shared" si="0"/>
        <v>1</v>
      </c>
      <c r="D15" s="1">
        <f t="shared" si="0"/>
        <v>0</v>
      </c>
      <c r="E15" s="1">
        <f t="shared" si="0"/>
        <v>0</v>
      </c>
      <c r="F15" s="1">
        <f t="shared" si="0"/>
        <v>-1.0000000000000002</v>
      </c>
      <c r="G15" s="1">
        <f t="shared" si="0"/>
        <v>-1</v>
      </c>
      <c r="H15" s="1">
        <f t="shared" si="0"/>
        <v>1.0999999999999999</v>
      </c>
      <c r="I15" s="1">
        <f t="shared" si="0"/>
        <v>1.0999999999999999</v>
      </c>
      <c r="J15" s="1">
        <f t="shared" si="0"/>
        <v>-1.0999999999999999</v>
      </c>
      <c r="K15" s="1">
        <f t="shared" si="0"/>
        <v>-1.0999999999999999</v>
      </c>
      <c r="L15" s="1">
        <f t="shared" si="0"/>
        <v>0.99999999999999989</v>
      </c>
      <c r="M15" s="1">
        <f t="shared" si="0"/>
        <v>1.0000000000000002</v>
      </c>
      <c r="N15" s="1">
        <f t="shared" si="0"/>
        <v>0</v>
      </c>
      <c r="O15" s="1">
        <f t="shared" si="0"/>
        <v>0</v>
      </c>
      <c r="P15" s="1">
        <f t="shared" si="0"/>
        <v>-1.0000000000000002</v>
      </c>
      <c r="Q15" s="1">
        <f t="shared" si="0"/>
        <v>-0.99999999999999989</v>
      </c>
      <c r="R15" s="1">
        <f t="shared" si="0"/>
        <v>1.0999999999999999</v>
      </c>
      <c r="S15" s="1">
        <f t="shared" si="0"/>
        <v>1.0999999999999999</v>
      </c>
      <c r="T15" s="1">
        <f t="shared" si="0"/>
        <v>-1.0999999999999999</v>
      </c>
      <c r="U15" s="1">
        <f t="shared" si="0"/>
        <v>-1.0999999999999999</v>
      </c>
    </row>
    <row r="16" spans="1:21" x14ac:dyDescent="0.35">
      <c r="A16" s="3" t="s">
        <v>11</v>
      </c>
      <c r="B16" s="4">
        <f t="shared" ref="B16:U16" si="1">_xlfn.STDEV.P(B3:B13)</f>
        <v>0.63245553203367588</v>
      </c>
      <c r="C16" s="4">
        <f t="shared" si="1"/>
        <v>0.31622776601683783</v>
      </c>
      <c r="D16" s="4">
        <f t="shared" si="1"/>
        <v>0.63245553203367577</v>
      </c>
      <c r="E16" s="4">
        <f t="shared" si="1"/>
        <v>0.316227766016838</v>
      </c>
      <c r="F16" s="4">
        <f t="shared" si="1"/>
        <v>0.63245553203367566</v>
      </c>
      <c r="G16" s="4">
        <f t="shared" si="1"/>
        <v>0.31622776601683822</v>
      </c>
      <c r="H16" s="4">
        <f t="shared" si="1"/>
        <v>0.63245553203367588</v>
      </c>
      <c r="I16" s="4">
        <f t="shared" si="1"/>
        <v>0.31622776601683783</v>
      </c>
      <c r="J16" s="4">
        <f t="shared" si="1"/>
        <v>0.63245553203367566</v>
      </c>
      <c r="K16" s="4">
        <f t="shared" si="1"/>
        <v>0.31622776601683822</v>
      </c>
      <c r="L16" s="1">
        <f t="shared" si="1"/>
        <v>0.31780497164141469</v>
      </c>
      <c r="M16" s="1">
        <f t="shared" si="1"/>
        <v>0.31780497164141358</v>
      </c>
      <c r="N16" s="1">
        <f t="shared" si="1"/>
        <v>0.31780497164141408</v>
      </c>
      <c r="O16" s="1">
        <f t="shared" si="1"/>
        <v>0.31780497164141408</v>
      </c>
      <c r="P16" s="1">
        <f t="shared" si="1"/>
        <v>0.31780497164141358</v>
      </c>
      <c r="Q16" s="1">
        <f t="shared" si="1"/>
        <v>0.3178049716414143</v>
      </c>
      <c r="R16" s="1">
        <f t="shared" si="1"/>
        <v>0.31780497164141414</v>
      </c>
      <c r="S16" s="1">
        <f t="shared" si="1"/>
        <v>0.31780497164141414</v>
      </c>
      <c r="T16" s="1">
        <f t="shared" si="1"/>
        <v>0.31780497164141414</v>
      </c>
      <c r="U16" s="1">
        <f t="shared" si="1"/>
        <v>0.31780497164141486</v>
      </c>
    </row>
    <row r="17" spans="1:21" x14ac:dyDescent="0.35">
      <c r="A17" t="s">
        <v>12</v>
      </c>
      <c r="B17" s="1">
        <f t="shared" ref="B17:U17" si="2">_xlfn.SKEW.P(B3:B13)</f>
        <v>0</v>
      </c>
      <c r="C17" s="1">
        <f t="shared" si="2"/>
        <v>-2.0185873175002846E-16</v>
      </c>
      <c r="D17" s="1">
        <f t="shared" si="2"/>
        <v>-4.4408920985006262E-16</v>
      </c>
      <c r="E17" s="1">
        <f t="shared" si="2"/>
        <v>5.2483270255007403E-16</v>
      </c>
      <c r="F17" s="1">
        <f t="shared" si="2"/>
        <v>7.6706318065010816E-16</v>
      </c>
      <c r="G17" s="1">
        <f t="shared" si="2"/>
        <v>8.4780667335011958E-16</v>
      </c>
      <c r="H17" s="1">
        <f t="shared" si="2"/>
        <v>5.2483270255007403E-16</v>
      </c>
      <c r="I17" s="1">
        <f t="shared" si="2"/>
        <v>1.170780644150165E-15</v>
      </c>
      <c r="J17" s="1">
        <f t="shared" si="2"/>
        <v>-7.2669143430010251E-16</v>
      </c>
      <c r="K17" s="1">
        <f t="shared" si="2"/>
        <v>-5.2483270255007403E-16</v>
      </c>
      <c r="L17" s="4">
        <f t="shared" si="2"/>
        <v>2.7945403348921536</v>
      </c>
      <c r="M17" s="4">
        <f t="shared" si="2"/>
        <v>-2.7945403348921536</v>
      </c>
      <c r="N17" s="4">
        <f t="shared" si="2"/>
        <v>2.7945403348921518</v>
      </c>
      <c r="O17" s="4">
        <f t="shared" si="2"/>
        <v>-2.7945403348921518</v>
      </c>
      <c r="P17" s="4">
        <f t="shared" si="2"/>
        <v>2.7945403348921536</v>
      </c>
      <c r="Q17" s="4">
        <f t="shared" si="2"/>
        <v>-2.7945403348921518</v>
      </c>
      <c r="R17" s="4">
        <f t="shared" si="2"/>
        <v>2.7945403348921536</v>
      </c>
      <c r="S17" s="4">
        <f t="shared" si="2"/>
        <v>-2.7945403348921505</v>
      </c>
      <c r="T17" s="4">
        <f t="shared" si="2"/>
        <v>2.7945403348921505</v>
      </c>
      <c r="U17" s="4">
        <f t="shared" si="2"/>
        <v>-2.7945403348921518</v>
      </c>
    </row>
    <row r="18" spans="1:21" x14ac:dyDescent="0.35">
      <c r="A18" t="s">
        <v>13</v>
      </c>
      <c r="B18" s="1">
        <f t="shared" ref="B18:U18" si="3">KURT(B3:B13)</f>
        <v>-1.2000000000000015</v>
      </c>
      <c r="C18" s="1">
        <f t="shared" si="3"/>
        <v>-1.200000000000002</v>
      </c>
      <c r="D18" s="1">
        <f t="shared" si="3"/>
        <v>-1.1999999999999997</v>
      </c>
      <c r="E18" s="1">
        <f t="shared" si="3"/>
        <v>-1.1999999999999997</v>
      </c>
      <c r="F18" s="1">
        <f t="shared" si="3"/>
        <v>-1.2000000000000011</v>
      </c>
      <c r="G18" s="1">
        <f t="shared" si="3"/>
        <v>-1.1999999999999997</v>
      </c>
      <c r="H18" s="1">
        <f t="shared" si="3"/>
        <v>-1.2000000000000015</v>
      </c>
      <c r="I18" s="1">
        <f t="shared" si="3"/>
        <v>-1.2000000000000011</v>
      </c>
      <c r="J18" s="1">
        <f t="shared" si="3"/>
        <v>-1.2000000000000011</v>
      </c>
      <c r="K18" s="1">
        <f t="shared" si="3"/>
        <v>-1.2000000000000011</v>
      </c>
      <c r="L18" s="1">
        <f t="shared" si="3"/>
        <v>10.711250530993702</v>
      </c>
      <c r="M18" s="1">
        <f t="shared" si="3"/>
        <v>10.711250530993702</v>
      </c>
      <c r="N18" s="1">
        <f t="shared" si="3"/>
        <v>10.711250530993684</v>
      </c>
      <c r="O18" s="1">
        <f t="shared" si="3"/>
        <v>10.711250530993684</v>
      </c>
      <c r="P18" s="1">
        <f t="shared" si="3"/>
        <v>10.711250530993702</v>
      </c>
      <c r="Q18" s="1">
        <f t="shared" si="3"/>
        <v>10.711250530993684</v>
      </c>
      <c r="R18" s="1">
        <f t="shared" si="3"/>
        <v>10.711250530993702</v>
      </c>
      <c r="S18" s="1">
        <f t="shared" si="3"/>
        <v>10.711250530993684</v>
      </c>
      <c r="T18" s="1">
        <f t="shared" si="3"/>
        <v>10.711250530993684</v>
      </c>
      <c r="U18" s="1">
        <f t="shared" si="3"/>
        <v>10.711250530993691</v>
      </c>
    </row>
    <row r="19" spans="1:21" x14ac:dyDescent="0.35">
      <c r="A19" t="s">
        <v>14</v>
      </c>
      <c r="B19" s="1">
        <f t="shared" ref="B19:U19" si="4">MIN(B3:B13)</f>
        <v>0</v>
      </c>
      <c r="C19" s="1">
        <f t="shared" si="4"/>
        <v>0.5</v>
      </c>
      <c r="D19" s="1">
        <f t="shared" si="4"/>
        <v>-1</v>
      </c>
      <c r="E19" s="1">
        <f t="shared" si="4"/>
        <v>-0.5</v>
      </c>
      <c r="F19" s="1">
        <f t="shared" si="4"/>
        <v>-2</v>
      </c>
      <c r="G19" s="1">
        <f t="shared" si="4"/>
        <v>-1.5</v>
      </c>
      <c r="H19" s="1">
        <f t="shared" si="4"/>
        <v>0.1</v>
      </c>
      <c r="I19" s="1">
        <f t="shared" si="4"/>
        <v>0.6</v>
      </c>
      <c r="J19" s="1">
        <f t="shared" si="4"/>
        <v>-2.1</v>
      </c>
      <c r="K19" s="1">
        <f t="shared" si="4"/>
        <v>-1.6</v>
      </c>
      <c r="L19" s="1">
        <f t="shared" si="4"/>
        <v>0.85</v>
      </c>
      <c r="M19" s="1">
        <f t="shared" si="4"/>
        <v>0</v>
      </c>
      <c r="N19" s="1">
        <f t="shared" si="4"/>
        <v>-0.15</v>
      </c>
      <c r="O19" s="1">
        <f t="shared" si="4"/>
        <v>-1</v>
      </c>
      <c r="P19" s="1">
        <f t="shared" si="4"/>
        <v>-1.1499999999999999</v>
      </c>
      <c r="Q19" s="1">
        <f t="shared" si="4"/>
        <v>-2</v>
      </c>
      <c r="R19" s="1">
        <f t="shared" si="4"/>
        <v>0.95</v>
      </c>
      <c r="S19" s="1">
        <f t="shared" si="4"/>
        <v>0.1</v>
      </c>
      <c r="T19" s="1">
        <f t="shared" si="4"/>
        <v>-1.25</v>
      </c>
      <c r="U19" s="1">
        <f t="shared" si="4"/>
        <v>-2.1</v>
      </c>
    </row>
    <row r="20" spans="1:21" x14ac:dyDescent="0.35">
      <c r="A20" t="s">
        <v>15</v>
      </c>
      <c r="B20" s="1">
        <f t="shared" ref="B20:U20" si="5">MAX(B3:B13)</f>
        <v>2</v>
      </c>
      <c r="C20" s="1">
        <f t="shared" si="5"/>
        <v>1.5</v>
      </c>
      <c r="D20" s="1">
        <f t="shared" si="5"/>
        <v>0.99999999999999978</v>
      </c>
      <c r="E20" s="1">
        <f t="shared" si="5"/>
        <v>0.50000000000000022</v>
      </c>
      <c r="F20" s="1">
        <f t="shared" si="5"/>
        <v>0</v>
      </c>
      <c r="G20" s="1">
        <f t="shared" si="5"/>
        <v>-0.49999999999999978</v>
      </c>
      <c r="H20" s="1">
        <f t="shared" si="5"/>
        <v>2.1</v>
      </c>
      <c r="I20" s="1">
        <f t="shared" si="5"/>
        <v>1.6</v>
      </c>
      <c r="J20" s="1">
        <f t="shared" si="5"/>
        <v>-0.1</v>
      </c>
      <c r="K20" s="1">
        <f t="shared" si="5"/>
        <v>-0.59999999999999976</v>
      </c>
      <c r="L20" s="1">
        <f t="shared" si="5"/>
        <v>2</v>
      </c>
      <c r="M20" s="1">
        <f t="shared" si="5"/>
        <v>1.1499999999999999</v>
      </c>
      <c r="N20" s="1">
        <f t="shared" si="5"/>
        <v>1</v>
      </c>
      <c r="O20" s="1">
        <f t="shared" si="5"/>
        <v>0.15000000000000011</v>
      </c>
      <c r="P20" s="1">
        <f t="shared" si="5"/>
        <v>0</v>
      </c>
      <c r="Q20" s="1">
        <f t="shared" si="5"/>
        <v>-0.84999999999999987</v>
      </c>
      <c r="R20" s="1">
        <f t="shared" si="5"/>
        <v>2.1</v>
      </c>
      <c r="S20" s="1">
        <f t="shared" si="5"/>
        <v>1.25</v>
      </c>
      <c r="T20" s="1">
        <f t="shared" si="5"/>
        <v>-0.1</v>
      </c>
      <c r="U20" s="1">
        <f t="shared" si="5"/>
        <v>-0.94999999999999984</v>
      </c>
    </row>
    <row r="21" spans="1:21" x14ac:dyDescent="0.35">
      <c r="A21" t="s">
        <v>16</v>
      </c>
      <c r="B21" s="1">
        <f>CORREL(B3:B13,C3:C13)</f>
        <v>1</v>
      </c>
      <c r="D21" s="1">
        <f>CORREL(D3:D13,E3:E13)</f>
        <v>1</v>
      </c>
      <c r="F21" s="1">
        <f>CORREL(F3:F13,G3:G13)</f>
        <v>0.99999999999999989</v>
      </c>
      <c r="H21" s="1">
        <f>CORREL(H3:H13,I3:I13)</f>
        <v>0.99999999999999978</v>
      </c>
      <c r="J21" s="1">
        <f>CORREL(J3:J13,K3:K13)</f>
        <v>0.99999999999999989</v>
      </c>
      <c r="L21" s="1">
        <f>CORREL(L3:L13,M3:M13)</f>
        <v>-0.98019801980198018</v>
      </c>
      <c r="N21" s="1">
        <f>CORREL(N3:N13,O3:O13)</f>
        <v>-0.98019801980198007</v>
      </c>
      <c r="P21" s="1">
        <f>CORREL(P3:P13,Q3:Q13)</f>
        <v>-0.98019801980198007</v>
      </c>
      <c r="R21" s="1">
        <f>CORREL(R3:R13,S3:S13)</f>
        <v>-0.98019801980198007</v>
      </c>
      <c r="T21" s="1">
        <f>CORREL(T3:T13,U3:U13)</f>
        <v>-0.98019801980197996</v>
      </c>
    </row>
    <row r="22" spans="1:21" x14ac:dyDescent="0.35">
      <c r="A22" t="s">
        <v>17</v>
      </c>
      <c r="B22">
        <f t="array" ref="B22">SUMPRODUCT((B3:B13&gt;C3:C13)*1)</f>
        <v>5</v>
      </c>
      <c r="C22">
        <f t="array" ref="C22">SUMPRODUCT((B3:B13&lt;C3:C13)*1)</f>
        <v>5</v>
      </c>
      <c r="D22">
        <f t="array" ref="D22">SUMPRODUCT((D3:D13&gt;E3:E13)*1)</f>
        <v>5</v>
      </c>
      <c r="E22">
        <f t="array" ref="E22">SUMPRODUCT((D3:D13&lt;E3:E13)*1)</f>
        <v>5</v>
      </c>
      <c r="F22">
        <f t="array" ref="F22">SUMPRODUCT((F3:F13&gt;G3:G13)*1)</f>
        <v>5</v>
      </c>
      <c r="G22">
        <f t="array" ref="G22">SUMPRODUCT((F3:F13&lt;G3:G13)*1)</f>
        <v>5</v>
      </c>
      <c r="H22">
        <f t="array" ref="H22">SUMPRODUCT((H3:H13&gt;I3:I13)*1)</f>
        <v>5</v>
      </c>
      <c r="I22">
        <f t="array" ref="I22">SUMPRODUCT((H3:H13&lt;I3:I13)*1)</f>
        <v>5</v>
      </c>
      <c r="J22">
        <f t="array" ref="J22">SUMPRODUCT((J3:J13&gt;K3:K13)*1)</f>
        <v>5</v>
      </c>
      <c r="K22">
        <f t="array" ref="K22">SUMPRODUCT((J3:J13&lt;K3:K13)*1)</f>
        <v>5</v>
      </c>
      <c r="L22">
        <f t="array" ref="L22">SUMPRODUCT((L3:L13&gt;M3:M13)*1)</f>
        <v>1</v>
      </c>
      <c r="M22">
        <f t="array" ref="M22">SUMPRODUCT((L3:L13&lt;M3:M13)*1)</f>
        <v>10</v>
      </c>
      <c r="N22">
        <f t="array" ref="N22">SUMPRODUCT((N3:N13&gt;O3:O13)*1)</f>
        <v>1</v>
      </c>
      <c r="O22">
        <f t="array" ref="O22">SUMPRODUCT((N3:N13&lt;O3:O13)*1)</f>
        <v>10</v>
      </c>
      <c r="P22">
        <f t="array" ref="P22">SUMPRODUCT((P3:P13&gt;Q3:Q13)*1)</f>
        <v>1</v>
      </c>
      <c r="Q22">
        <f t="array" ref="Q22">SUMPRODUCT((P3:P13&lt;Q3:Q13)*1)</f>
        <v>10</v>
      </c>
      <c r="R22">
        <f t="array" ref="R22">SUMPRODUCT((R3:R13&gt;S3:S13)*1)</f>
        <v>1</v>
      </c>
      <c r="S22">
        <f t="array" ref="S22">SUMPRODUCT((R3:R13&lt;S3:S13)*1)</f>
        <v>10</v>
      </c>
      <c r="T22">
        <f t="array" ref="T22">SUMPRODUCT((T3:T13&gt;U3:U13)*1)</f>
        <v>1</v>
      </c>
      <c r="U22">
        <f t="array" ref="U22">SUMPRODUCT((T3:T13&lt;U3:U13)*1)</f>
        <v>10</v>
      </c>
    </row>
    <row r="23" spans="1:21" x14ac:dyDescent="0.35">
      <c r="A23" s="5" t="s">
        <v>18</v>
      </c>
      <c r="B23" s="6" t="str">
        <f>IF(B22&gt;C22,"A",IF(C22&gt;B22,"B","Equal"))</f>
        <v>Equal</v>
      </c>
      <c r="D23" s="6" t="str">
        <f>IF(D22&gt;E22,"A",IF(E22&gt;D22,"B","Equal"))</f>
        <v>Equal</v>
      </c>
      <c r="F23" s="6" t="str">
        <f>IF(F22&gt;G22,"A",IF(G22&gt;F22,"B","Equal"))</f>
        <v>Equal</v>
      </c>
      <c r="H23" s="6" t="str">
        <f>IF(H22&gt;I22,"A",IF(I22&gt;H22,"B","Equal"))</f>
        <v>Equal</v>
      </c>
      <c r="J23" s="6" t="str">
        <f>IF(J22&gt;K22,"A",IF(K22&gt;J22,"B","Equal"))</f>
        <v>Equal</v>
      </c>
      <c r="L23" s="6" t="str">
        <f>IF(L22&gt;M22,"A",IF(M22&gt;L22,"B","Equal"))</f>
        <v>B</v>
      </c>
      <c r="N23" s="6" t="str">
        <f>IF(N22&gt;O22,"A",IF(O22&gt;N22,"B","Equal"))</f>
        <v>B</v>
      </c>
      <c r="P23" s="6" t="str">
        <f>IF(P22&gt;Q22,"A",IF(Q22&gt;P22,"B","Equal"))</f>
        <v>B</v>
      </c>
      <c r="R23" s="6" t="str">
        <f>IF(R22&gt;S22,"A",IF(S22&gt;R22,"B","Equal"))</f>
        <v>B</v>
      </c>
      <c r="T23" s="6" t="str">
        <f>IF(T22&gt;U22,"A",IF(U22&gt;T22,"B","Equal"))</f>
        <v>B</v>
      </c>
    </row>
    <row r="24" spans="1:21" x14ac:dyDescent="0.35">
      <c r="A24" t="s">
        <v>19</v>
      </c>
      <c r="B24">
        <f>MAX(B22:C22)</f>
        <v>5</v>
      </c>
      <c r="D24">
        <f>MAX(D22:E22)</f>
        <v>5</v>
      </c>
      <c r="F24">
        <f>MAX(F22:G22)</f>
        <v>5</v>
      </c>
      <c r="H24">
        <f>MAX(H22:I22)</f>
        <v>5</v>
      </c>
      <c r="J24">
        <f>MAX(J22:K22)</f>
        <v>5</v>
      </c>
      <c r="L24">
        <f>MAX(L22:M22)</f>
        <v>10</v>
      </c>
      <c r="N24">
        <f>MAX(N22:O22)</f>
        <v>10</v>
      </c>
      <c r="P24">
        <f>MAX(P22:Q22)</f>
        <v>10</v>
      </c>
      <c r="R24">
        <f>MAX(R22:S22)</f>
        <v>10</v>
      </c>
      <c r="T24">
        <f>MAX(T22:U22)</f>
        <v>10</v>
      </c>
    </row>
    <row r="26" spans="1:21" x14ac:dyDescent="0.35">
      <c r="A26" s="7" t="s">
        <v>20</v>
      </c>
    </row>
    <row r="28" spans="1:21" x14ac:dyDescent="0.35">
      <c r="A28" s="2" t="s">
        <v>21</v>
      </c>
      <c r="B28" s="11" t="s">
        <v>0</v>
      </c>
      <c r="C28" s="12"/>
      <c r="D28" s="11" t="s">
        <v>1</v>
      </c>
      <c r="E28" s="12"/>
      <c r="F28" s="11" t="s">
        <v>2</v>
      </c>
      <c r="G28" s="12"/>
      <c r="H28" s="11" t="s">
        <v>3</v>
      </c>
      <c r="I28" s="12"/>
      <c r="J28" s="11" t="s">
        <v>4</v>
      </c>
      <c r="K28" s="12"/>
      <c r="L28" s="11" t="s">
        <v>5</v>
      </c>
      <c r="M28" s="12"/>
      <c r="N28" s="11" t="s">
        <v>6</v>
      </c>
      <c r="O28" s="12"/>
      <c r="P28" s="11" t="s">
        <v>7</v>
      </c>
      <c r="Q28" s="12"/>
      <c r="R28" s="11" t="s">
        <v>8</v>
      </c>
      <c r="S28" s="12"/>
      <c r="T28" s="11" t="s">
        <v>9</v>
      </c>
      <c r="U28" s="12"/>
    </row>
    <row r="29" spans="1:21" x14ac:dyDescent="0.35">
      <c r="A29">
        <v>1</v>
      </c>
      <c r="B29" s="1">
        <f t="array" aca="1" ref="B29:B39" ca="1">_xlfn.SORTBY(B3:B13,_xlfn.RANDARRAY(ROWS(B3:B13)))</f>
        <v>1.2</v>
      </c>
      <c r="C29" s="1">
        <f t="array" aca="1" ref="C29:C39" ca="1">_xlfn.SORTBY(C3:C13,_xlfn.RANDARRAY(ROWS(C3:C13)))</f>
        <v>0.6</v>
      </c>
      <c r="D29" s="1">
        <f t="array" aca="1" ref="D29:D39" ca="1">_xlfn.SORTBY(D3:D13,_xlfn.RANDARRAY(ROWS(D3:D13)))</f>
        <v>0</v>
      </c>
      <c r="E29" s="1">
        <f t="array" aca="1" ref="E29:E39" ca="1">_xlfn.SORTBY(E3:E13,_xlfn.RANDARRAY(ROWS(E3:E13)))</f>
        <v>-0.20000000000000009</v>
      </c>
      <c r="F29" s="1">
        <f t="array" aca="1" ref="F29:F39" ca="1">_xlfn.SORTBY(F3:F13,_xlfn.RANDARRAY(ROWS(F3:F13)))</f>
        <v>-0.20000000000000021</v>
      </c>
      <c r="G29" s="1">
        <f t="array" aca="1" ref="G29:G39" ca="1">_xlfn.SORTBY(G3:G13,_xlfn.RANDARRAY(ROWS(G3:G13)))</f>
        <v>-1.1000000000000001</v>
      </c>
      <c r="H29" s="1">
        <f t="array" aca="1" ref="H29:H39" ca="1">_xlfn.SORTBY(H3:H13,_xlfn.RANDARRAY(ROWS(H3:H13)))</f>
        <v>1.9</v>
      </c>
      <c r="I29" s="1">
        <f t="array" aca="1" ref="I29:I39" ca="1">_xlfn.SORTBY(I3:I13,_xlfn.RANDARRAY(ROWS(I3:I13)))</f>
        <v>0.79999999999999993</v>
      </c>
      <c r="J29" s="1">
        <f t="array" aca="1" ref="J29:J39" ca="1">_xlfn.SORTBY(J3:J13,_xlfn.RANDARRAY(ROWS(J3:J13)))</f>
        <v>-0.70000000000000007</v>
      </c>
      <c r="K29" s="1">
        <f t="array" aca="1" ref="K29:K39" ca="1">_xlfn.SORTBY(K3:K13,_xlfn.RANDARRAY(ROWS(K3:K13)))</f>
        <v>-1</v>
      </c>
      <c r="L29" s="1">
        <f t="array" aca="1" ref="L29:L39" ca="1">_xlfn.SORTBY(L3:L13,_xlfn.RANDARRAY(ROWS(L3:L13)))</f>
        <v>2</v>
      </c>
      <c r="M29" s="1">
        <f t="array" aca="1" ref="M29:M39" ca="1">_xlfn.SORTBY(M3:M13,_xlfn.RANDARRAY(ROWS(M3:M13)))</f>
        <v>1.1499999999999999</v>
      </c>
      <c r="N29" s="1">
        <f t="array" aca="1" ref="N29:N39" ca="1">_xlfn.SORTBY(N3:N13,_xlfn.RANDARRAY(ROWS(N3:N13)))</f>
        <v>-0.12</v>
      </c>
      <c r="O29" s="1">
        <f t="array" aca="1" ref="O29:O39" ca="1">_xlfn.SORTBY(O3:O13,_xlfn.RANDARRAY(ROWS(O3:O13)))</f>
        <v>0.15000000000000011</v>
      </c>
      <c r="P29" s="1">
        <f t="array" aca="1" ref="P29:P39" ca="1">_xlfn.SORTBY(P3:P13,_xlfn.RANDARRAY(ROWS(P3:P13)))</f>
        <v>-1.08</v>
      </c>
      <c r="Q29" s="1">
        <f t="array" aca="1" ref="Q29:Q39" ca="1">_xlfn.SORTBY(Q3:Q13,_xlfn.RANDARRAY(ROWS(Q3:Q13)))</f>
        <v>-2</v>
      </c>
      <c r="R29" s="1">
        <f t="array" aca="1" ref="R29:R39" ca="1">_xlfn.SORTBY(R3:R13,_xlfn.RANDARRAY(ROWS(R3:R13)))</f>
        <v>2.1</v>
      </c>
      <c r="S29" s="1">
        <f t="array" aca="1" ref="S29:S39" ca="1">_xlfn.SORTBY(S3:S13,_xlfn.RANDARRAY(ROWS(S3:S13)))</f>
        <v>1.1599999999999999</v>
      </c>
      <c r="T29" s="1">
        <f t="array" aca="1" ref="T29:T39" ca="1">_xlfn.SORTBY(T3:T13,_xlfn.RANDARRAY(ROWS(T3:T13)))</f>
        <v>-0.1</v>
      </c>
      <c r="U29" s="1">
        <f t="array" aca="1" ref="U29:U39" ca="1">_xlfn.SORTBY(U3:U13,_xlfn.RANDARRAY(ROWS(U3:U13)))</f>
        <v>-0.95999999999999985</v>
      </c>
    </row>
    <row r="30" spans="1:21" x14ac:dyDescent="0.35">
      <c r="A30">
        <v>2</v>
      </c>
      <c r="B30" s="1">
        <f ca="1"/>
        <v>0</v>
      </c>
      <c r="C30" s="1">
        <f ca="1"/>
        <v>1.2</v>
      </c>
      <c r="D30" s="1">
        <f ca="1"/>
        <v>0.2</v>
      </c>
      <c r="E30" s="1">
        <f ca="1"/>
        <v>-0.4</v>
      </c>
      <c r="F30" s="1">
        <f ca="1"/>
        <v>-1.4</v>
      </c>
      <c r="G30" s="1">
        <f ca="1"/>
        <v>-0.8</v>
      </c>
      <c r="H30" s="1">
        <f ca="1"/>
        <v>0.5</v>
      </c>
      <c r="I30" s="1">
        <f ca="1"/>
        <v>1.4</v>
      </c>
      <c r="J30" s="1">
        <f ca="1"/>
        <v>-1.1000000000000001</v>
      </c>
      <c r="K30" s="1">
        <f ca="1"/>
        <v>-0.9</v>
      </c>
      <c r="L30" s="1">
        <f ca="1"/>
        <v>0.86</v>
      </c>
      <c r="M30" s="1">
        <f ca="1"/>
        <v>0</v>
      </c>
      <c r="N30" s="1">
        <f ca="1"/>
        <v>-0.14000000000000001</v>
      </c>
      <c r="O30" s="1">
        <f ca="1"/>
        <v>6.0000000000000053E-2</v>
      </c>
      <c r="P30" s="1">
        <f ca="1"/>
        <v>-1.06</v>
      </c>
      <c r="Q30" s="1">
        <f ca="1"/>
        <v>-0.94</v>
      </c>
      <c r="R30" s="1">
        <f ca="1"/>
        <v>0.98</v>
      </c>
      <c r="S30" s="1">
        <f ca="1"/>
        <v>1.22</v>
      </c>
      <c r="T30" s="1">
        <f ca="1"/>
        <v>-1.1499999999999999</v>
      </c>
      <c r="U30" s="1">
        <f ca="1"/>
        <v>-1.05</v>
      </c>
    </row>
    <row r="31" spans="1:21" x14ac:dyDescent="0.35">
      <c r="A31">
        <v>3</v>
      </c>
      <c r="B31" s="1">
        <f ca="1"/>
        <v>1.4</v>
      </c>
      <c r="C31" s="1">
        <f ca="1"/>
        <v>1.5</v>
      </c>
      <c r="D31" s="1">
        <f ca="1"/>
        <v>0.59999999999999987</v>
      </c>
      <c r="E31" s="1">
        <f ca="1"/>
        <v>-0.1000000000000001</v>
      </c>
      <c r="F31" s="1">
        <f ca="1"/>
        <v>-1</v>
      </c>
      <c r="G31" s="1">
        <f ca="1"/>
        <v>-1.3</v>
      </c>
      <c r="H31" s="1">
        <f ca="1"/>
        <v>2.1</v>
      </c>
      <c r="I31" s="1">
        <f ca="1"/>
        <v>1.2</v>
      </c>
      <c r="J31" s="1">
        <f ca="1"/>
        <v>-1.3</v>
      </c>
      <c r="K31" s="1">
        <f ca="1"/>
        <v>-1.1000000000000001</v>
      </c>
      <c r="L31" s="1">
        <f ca="1"/>
        <v>0.92</v>
      </c>
      <c r="M31" s="1">
        <f ca="1"/>
        <v>1.1399999999999999</v>
      </c>
      <c r="N31" s="1">
        <f ca="1"/>
        <v>-0.11</v>
      </c>
      <c r="O31" s="1">
        <f ca="1"/>
        <v>8.0000000000000071E-2</v>
      </c>
      <c r="P31" s="1">
        <f ca="1"/>
        <v>-1.05</v>
      </c>
      <c r="Q31" s="1">
        <f ca="1"/>
        <v>-0.87999999999999989</v>
      </c>
      <c r="R31" s="1">
        <f ca="1"/>
        <v>1.01</v>
      </c>
      <c r="S31" s="1">
        <f ca="1"/>
        <v>1.1499999999999999</v>
      </c>
      <c r="T31" s="1">
        <f ca="1"/>
        <v>-1.19</v>
      </c>
      <c r="U31" s="1">
        <f ca="1"/>
        <v>-2.1</v>
      </c>
    </row>
    <row r="32" spans="1:21" x14ac:dyDescent="0.35">
      <c r="A32">
        <v>4</v>
      </c>
      <c r="B32" s="1">
        <f ca="1"/>
        <v>0.8</v>
      </c>
      <c r="C32" s="1">
        <f ca="1"/>
        <v>0.89999999999999991</v>
      </c>
      <c r="D32" s="1">
        <f ca="1"/>
        <v>0.99999999999999978</v>
      </c>
      <c r="E32" s="1">
        <f ca="1"/>
        <v>9.9999999999999867E-2</v>
      </c>
      <c r="F32" s="1">
        <f ca="1"/>
        <v>0</v>
      </c>
      <c r="G32" s="1">
        <f ca="1"/>
        <v>-0.90000000000000013</v>
      </c>
      <c r="H32" s="1">
        <f ca="1"/>
        <v>0.1</v>
      </c>
      <c r="I32" s="1">
        <f ca="1"/>
        <v>0.7</v>
      </c>
      <c r="J32" s="1">
        <f ca="1"/>
        <v>-0.9</v>
      </c>
      <c r="K32" s="1">
        <f ca="1"/>
        <v>-1.6</v>
      </c>
      <c r="L32" s="1">
        <f ca="1"/>
        <v>0.94000000000000006</v>
      </c>
      <c r="M32" s="1">
        <f ca="1"/>
        <v>1.07</v>
      </c>
      <c r="N32" s="1">
        <f ca="1"/>
        <v>-7.999999999999996E-2</v>
      </c>
      <c r="O32" s="1">
        <f ca="1"/>
        <v>0.13000000000000009</v>
      </c>
      <c r="P32" s="1">
        <f ca="1"/>
        <v>-1.1100000000000001</v>
      </c>
      <c r="Q32" s="1">
        <f ca="1"/>
        <v>-0.90999999999999992</v>
      </c>
      <c r="R32" s="1">
        <f ca="1"/>
        <v>0.97</v>
      </c>
      <c r="S32" s="1">
        <f ca="1"/>
        <v>1.25</v>
      </c>
      <c r="T32" s="1">
        <f ca="1"/>
        <v>-1.21</v>
      </c>
      <c r="U32" s="1">
        <f ca="1"/>
        <v>-1.02</v>
      </c>
    </row>
    <row r="33" spans="1:21" x14ac:dyDescent="0.35">
      <c r="A33">
        <v>5</v>
      </c>
      <c r="B33" s="1">
        <f ca="1"/>
        <v>2</v>
      </c>
      <c r="C33" s="1">
        <f ca="1"/>
        <v>1.3</v>
      </c>
      <c r="D33" s="1">
        <f ca="1"/>
        <v>0.79999999999999982</v>
      </c>
      <c r="E33" s="1">
        <f ca="1"/>
        <v>-0.5</v>
      </c>
      <c r="F33" s="1">
        <f ca="1"/>
        <v>-0.40000000000000008</v>
      </c>
      <c r="G33" s="1">
        <f ca="1"/>
        <v>-1.4</v>
      </c>
      <c r="H33" s="1">
        <f ca="1"/>
        <v>0.70000000000000007</v>
      </c>
      <c r="I33" s="1">
        <f ca="1"/>
        <v>0.6</v>
      </c>
      <c r="J33" s="1">
        <f ca="1"/>
        <v>-1.5</v>
      </c>
      <c r="K33" s="1">
        <f ca="1"/>
        <v>-0.79999999999999993</v>
      </c>
      <c r="L33" s="1">
        <f ca="1"/>
        <v>0.85</v>
      </c>
      <c r="M33" s="1">
        <f ca="1"/>
        <v>1.1299999999999999</v>
      </c>
      <c r="N33" s="1">
        <f ca="1"/>
        <v>-0.13</v>
      </c>
      <c r="O33" s="1">
        <f ca="1"/>
        <v>0.12000000000000011</v>
      </c>
      <c r="P33" s="1">
        <f ca="1"/>
        <v>-1.1200000000000001</v>
      </c>
      <c r="Q33" s="1">
        <f ca="1"/>
        <v>-0.86999999999999988</v>
      </c>
      <c r="R33" s="1">
        <f ca="1"/>
        <v>0.95</v>
      </c>
      <c r="S33" s="1">
        <f ca="1"/>
        <v>1.18</v>
      </c>
      <c r="T33" s="1">
        <f ca="1"/>
        <v>-1.25</v>
      </c>
      <c r="U33" s="1">
        <f ca="1"/>
        <v>-1.01</v>
      </c>
    </row>
    <row r="34" spans="1:21" x14ac:dyDescent="0.35">
      <c r="A34">
        <v>6</v>
      </c>
      <c r="B34" s="1">
        <f ca="1"/>
        <v>1.8</v>
      </c>
      <c r="C34" s="1">
        <f ca="1"/>
        <v>1.1000000000000001</v>
      </c>
      <c r="D34" s="1">
        <f ca="1"/>
        <v>-0.39999999999999991</v>
      </c>
      <c r="E34" s="1">
        <f ca="1"/>
        <v>0.40000000000000008</v>
      </c>
      <c r="F34" s="1">
        <f ca="1"/>
        <v>-1.2</v>
      </c>
      <c r="G34" s="1">
        <f ca="1"/>
        <v>-0.7</v>
      </c>
      <c r="H34" s="1">
        <f ca="1"/>
        <v>1.1000000000000001</v>
      </c>
      <c r="I34" s="1">
        <f ca="1"/>
        <v>1.5</v>
      </c>
      <c r="J34" s="1">
        <f ca="1"/>
        <v>-1.9</v>
      </c>
      <c r="K34" s="1">
        <f ca="1"/>
        <v>-1.4</v>
      </c>
      <c r="L34" s="1">
        <f ca="1"/>
        <v>0.93</v>
      </c>
      <c r="M34" s="1">
        <f ca="1"/>
        <v>1.06</v>
      </c>
      <c r="N34" s="1">
        <f ca="1"/>
        <v>-4.9999999999999933E-2</v>
      </c>
      <c r="O34" s="1">
        <f ca="1"/>
        <v>0.1400000000000001</v>
      </c>
      <c r="P34" s="1">
        <f ca="1"/>
        <v>-1.0900000000000001</v>
      </c>
      <c r="Q34" s="1">
        <f ca="1"/>
        <v>-0.8899999999999999</v>
      </c>
      <c r="R34" s="1">
        <f ca="1"/>
        <v>0.99</v>
      </c>
      <c r="S34" s="1">
        <f ca="1"/>
        <v>1.23</v>
      </c>
      <c r="T34" s="1">
        <f ca="1"/>
        <v>-1.24</v>
      </c>
      <c r="U34" s="1">
        <f ca="1"/>
        <v>-0.97999999999999987</v>
      </c>
    </row>
    <row r="35" spans="1:21" x14ac:dyDescent="0.35">
      <c r="A35">
        <v>7</v>
      </c>
      <c r="B35" s="1">
        <f ca="1"/>
        <v>0.60000000000000009</v>
      </c>
      <c r="C35" s="1">
        <f ca="1"/>
        <v>0.79999999999999993</v>
      </c>
      <c r="D35" s="1">
        <f ca="1"/>
        <v>0.39999999999999991</v>
      </c>
      <c r="E35" s="1">
        <f ca="1"/>
        <v>0.2</v>
      </c>
      <c r="F35" s="1">
        <f ca="1"/>
        <v>-1.8</v>
      </c>
      <c r="G35" s="1">
        <f ca="1"/>
        <v>-1.5</v>
      </c>
      <c r="H35" s="1">
        <f ca="1"/>
        <v>1.7</v>
      </c>
      <c r="I35" s="1">
        <f ca="1"/>
        <v>1.6</v>
      </c>
      <c r="J35" s="1">
        <f ca="1"/>
        <v>-2.1</v>
      </c>
      <c r="K35" s="1">
        <f ca="1"/>
        <v>-1.3</v>
      </c>
      <c r="L35" s="1">
        <f ca="1"/>
        <v>0.87</v>
      </c>
      <c r="M35" s="1">
        <f ca="1"/>
        <v>1.0900000000000001</v>
      </c>
      <c r="N35" s="1">
        <f ca="1"/>
        <v>-0.15</v>
      </c>
      <c r="O35" s="1">
        <f ca="1"/>
        <v>9.000000000000008E-2</v>
      </c>
      <c r="P35" s="1">
        <f ca="1"/>
        <v>-1.07</v>
      </c>
      <c r="Q35" s="1">
        <f ca="1"/>
        <v>-0.91999999999999993</v>
      </c>
      <c r="R35" s="1">
        <f ca="1"/>
        <v>1.04</v>
      </c>
      <c r="S35" s="1">
        <f ca="1"/>
        <v>1.17</v>
      </c>
      <c r="T35" s="1">
        <f ca="1"/>
        <v>-1.18</v>
      </c>
      <c r="U35" s="1">
        <f ca="1"/>
        <v>-0.98999999999999988</v>
      </c>
    </row>
    <row r="36" spans="1:21" x14ac:dyDescent="0.35">
      <c r="A36">
        <v>8</v>
      </c>
      <c r="B36" s="1">
        <f ca="1"/>
        <v>0.2</v>
      </c>
      <c r="C36" s="1">
        <f ca="1"/>
        <v>0.99999999999999989</v>
      </c>
      <c r="D36" s="1">
        <f ca="1"/>
        <v>-0.8</v>
      </c>
      <c r="E36" s="1">
        <f ca="1"/>
        <v>-0.3</v>
      </c>
      <c r="F36" s="1">
        <f ca="1"/>
        <v>-2</v>
      </c>
      <c r="G36" s="1">
        <f ca="1"/>
        <v>-0.49999999999999978</v>
      </c>
      <c r="H36" s="1">
        <f ca="1"/>
        <v>1.3</v>
      </c>
      <c r="I36" s="1">
        <f ca="1"/>
        <v>0.99999999999999989</v>
      </c>
      <c r="J36" s="1">
        <f ca="1"/>
        <v>-0.50000000000000011</v>
      </c>
      <c r="K36" s="1">
        <f ca="1"/>
        <v>-0.59999999999999976</v>
      </c>
      <c r="L36" s="1">
        <f ca="1"/>
        <v>0.89</v>
      </c>
      <c r="M36" s="1">
        <f ca="1"/>
        <v>1.1100000000000001</v>
      </c>
      <c r="N36" s="1">
        <f ca="1"/>
        <v>-6.9999999999999951E-2</v>
      </c>
      <c r="O36" s="1">
        <f ca="1"/>
        <v>5.0000000000000037E-2</v>
      </c>
      <c r="P36" s="1">
        <f ca="1"/>
        <v>-1.1299999999999999</v>
      </c>
      <c r="Q36" s="1">
        <f ca="1"/>
        <v>-0.85999999999999988</v>
      </c>
      <c r="R36" s="1">
        <f ca="1"/>
        <v>1.05</v>
      </c>
      <c r="S36" s="1">
        <f ca="1"/>
        <v>1.24</v>
      </c>
      <c r="T36" s="1">
        <f ca="1"/>
        <v>-1.1599999999999999</v>
      </c>
      <c r="U36" s="1">
        <f ca="1"/>
        <v>-1.04</v>
      </c>
    </row>
    <row r="37" spans="1:21" x14ac:dyDescent="0.35">
      <c r="A37">
        <v>9</v>
      </c>
      <c r="B37" s="1">
        <f ca="1"/>
        <v>1.6</v>
      </c>
      <c r="C37" s="1">
        <f ca="1"/>
        <v>0.5</v>
      </c>
      <c r="D37" s="1">
        <f ca="1"/>
        <v>-1</v>
      </c>
      <c r="E37" s="1">
        <f ca="1"/>
        <v>0</v>
      </c>
      <c r="F37" s="1">
        <f ca="1"/>
        <v>-0.8</v>
      </c>
      <c r="G37" s="1">
        <f ca="1"/>
        <v>-1.2</v>
      </c>
      <c r="H37" s="1">
        <f ca="1"/>
        <v>0.9</v>
      </c>
      <c r="I37" s="1">
        <f ca="1"/>
        <v>0.89999999999999991</v>
      </c>
      <c r="J37" s="1">
        <f ca="1"/>
        <v>-0.30000000000000021</v>
      </c>
      <c r="K37" s="1">
        <f ca="1"/>
        <v>-0.69999999999999984</v>
      </c>
      <c r="L37" s="1">
        <f ca="1"/>
        <v>0.95000000000000007</v>
      </c>
      <c r="M37" s="1">
        <f ca="1"/>
        <v>1.1200000000000001</v>
      </c>
      <c r="N37" s="1">
        <f ca="1"/>
        <v>1</v>
      </c>
      <c r="O37" s="1">
        <f ca="1"/>
        <v>0.1100000000000001</v>
      </c>
      <c r="P37" s="1">
        <f ca="1"/>
        <v>-1.1399999999999999</v>
      </c>
      <c r="Q37" s="1">
        <f ca="1"/>
        <v>-0.95</v>
      </c>
      <c r="R37" s="1">
        <f ca="1"/>
        <v>1.02</v>
      </c>
      <c r="S37" s="1">
        <f ca="1"/>
        <v>1.19</v>
      </c>
      <c r="T37" s="1">
        <f ca="1"/>
        <v>-1.22</v>
      </c>
      <c r="U37" s="1">
        <f ca="1"/>
        <v>-0.96999999999999986</v>
      </c>
    </row>
    <row r="38" spans="1:21" x14ac:dyDescent="0.35">
      <c r="A38">
        <v>10</v>
      </c>
      <c r="B38" s="1">
        <f ca="1"/>
        <v>0.4</v>
      </c>
      <c r="C38" s="1">
        <f ca="1"/>
        <v>0.7</v>
      </c>
      <c r="D38" s="1">
        <f ca="1"/>
        <v>-0.2</v>
      </c>
      <c r="E38" s="1">
        <f ca="1"/>
        <v>0.3</v>
      </c>
      <c r="F38" s="1">
        <f ca="1"/>
        <v>-0.60000000000000009</v>
      </c>
      <c r="G38" s="1">
        <f ca="1"/>
        <v>-1</v>
      </c>
      <c r="H38" s="1">
        <f ca="1"/>
        <v>1.5</v>
      </c>
      <c r="I38" s="1">
        <f ca="1"/>
        <v>1.1000000000000001</v>
      </c>
      <c r="J38" s="1">
        <f ca="1"/>
        <v>-0.1</v>
      </c>
      <c r="K38" s="1">
        <f ca="1"/>
        <v>-1.2</v>
      </c>
      <c r="L38" s="1">
        <f ca="1"/>
        <v>0.88</v>
      </c>
      <c r="M38" s="1">
        <f ca="1"/>
        <v>1.05</v>
      </c>
      <c r="N38" s="1">
        <f ca="1"/>
        <v>-5.9999999999999942E-2</v>
      </c>
      <c r="O38" s="1">
        <f ca="1"/>
        <v>7.0000000000000062E-2</v>
      </c>
      <c r="P38" s="1">
        <f ca="1"/>
        <v>-1.1499999999999999</v>
      </c>
      <c r="Q38" s="1">
        <f ca="1"/>
        <v>-0.92999999999999994</v>
      </c>
      <c r="R38" s="1">
        <f ca="1"/>
        <v>1.03</v>
      </c>
      <c r="S38" s="1">
        <f ca="1"/>
        <v>0.1</v>
      </c>
      <c r="T38" s="1">
        <f ca="1"/>
        <v>-1.17</v>
      </c>
      <c r="U38" s="1">
        <f ca="1"/>
        <v>-1.03</v>
      </c>
    </row>
    <row r="39" spans="1:21" x14ac:dyDescent="0.35">
      <c r="A39">
        <v>11</v>
      </c>
      <c r="B39" s="1">
        <f ca="1"/>
        <v>1</v>
      </c>
      <c r="C39" s="1">
        <f ca="1"/>
        <v>1.4</v>
      </c>
      <c r="D39" s="1">
        <f ca="1"/>
        <v>-0.6</v>
      </c>
      <c r="E39" s="1">
        <f ca="1"/>
        <v>0.50000000000000022</v>
      </c>
      <c r="F39" s="1">
        <f ca="1"/>
        <v>-1.6</v>
      </c>
      <c r="G39" s="1">
        <f ca="1"/>
        <v>-0.59999999999999987</v>
      </c>
      <c r="H39" s="1">
        <f ca="1"/>
        <v>0.3</v>
      </c>
      <c r="I39" s="1">
        <f ca="1"/>
        <v>1.3</v>
      </c>
      <c r="J39" s="1">
        <f ca="1"/>
        <v>-1.7</v>
      </c>
      <c r="K39" s="1">
        <f ca="1"/>
        <v>-1.5</v>
      </c>
      <c r="L39" s="1">
        <f ca="1"/>
        <v>0.91</v>
      </c>
      <c r="M39" s="1">
        <f ca="1"/>
        <v>1.08</v>
      </c>
      <c r="N39" s="1">
        <f ca="1"/>
        <v>-8.9999999999999969E-2</v>
      </c>
      <c r="O39" s="1">
        <f ca="1"/>
        <v>-1</v>
      </c>
      <c r="P39" s="1">
        <f ca="1"/>
        <v>0</v>
      </c>
      <c r="Q39" s="1">
        <f ca="1"/>
        <v>-0.84999999999999987</v>
      </c>
      <c r="R39" s="1">
        <f ca="1"/>
        <v>0.96</v>
      </c>
      <c r="S39" s="1">
        <f ca="1"/>
        <v>1.21</v>
      </c>
      <c r="T39" s="1">
        <f ca="1"/>
        <v>-1.23</v>
      </c>
      <c r="U39" s="1">
        <f ca="1"/>
        <v>-0.94999999999999984</v>
      </c>
    </row>
    <row r="41" spans="1:21" x14ac:dyDescent="0.35">
      <c r="A41" t="s">
        <v>10</v>
      </c>
      <c r="B41" s="1">
        <f t="shared" ref="B41:U41" ca="1" si="6">AVERAGE(B29:B39)</f>
        <v>1</v>
      </c>
      <c r="C41" s="1">
        <f t="shared" ca="1" si="6"/>
        <v>0.99999999999999989</v>
      </c>
      <c r="D41" s="1">
        <f t="shared" ca="1" si="6"/>
        <v>0</v>
      </c>
      <c r="E41" s="1">
        <f t="shared" ca="1" si="6"/>
        <v>0</v>
      </c>
      <c r="F41" s="1">
        <f t="shared" ca="1" si="6"/>
        <v>-1</v>
      </c>
      <c r="G41" s="1">
        <f t="shared" ca="1" si="6"/>
        <v>-0.99999999999999989</v>
      </c>
      <c r="H41" s="1">
        <f t="shared" ca="1" si="6"/>
        <v>1.1000000000000001</v>
      </c>
      <c r="I41" s="1">
        <f t="shared" ca="1" si="6"/>
        <v>1.0999999999999999</v>
      </c>
      <c r="J41" s="1">
        <f t="shared" ca="1" si="6"/>
        <v>-1.0999999999999999</v>
      </c>
      <c r="K41" s="1">
        <f t="shared" ca="1" si="6"/>
        <v>-1.0999999999999999</v>
      </c>
      <c r="L41" s="1">
        <f t="shared" ca="1" si="6"/>
        <v>1</v>
      </c>
      <c r="M41" s="1">
        <f t="shared" ca="1" si="6"/>
        <v>1.0000000000000002</v>
      </c>
      <c r="N41" s="1">
        <f t="shared" ca="1" si="6"/>
        <v>2.0185873175002847E-17</v>
      </c>
      <c r="O41" s="1">
        <f t="shared" ca="1" si="6"/>
        <v>0</v>
      </c>
      <c r="P41" s="1">
        <f t="shared" ca="1" si="6"/>
        <v>-1.0000000000000002</v>
      </c>
      <c r="Q41" s="1">
        <f t="shared" ca="1" si="6"/>
        <v>-0.99999999999999989</v>
      </c>
      <c r="R41" s="1">
        <f t="shared" ca="1" si="6"/>
        <v>1.0999999999999999</v>
      </c>
      <c r="S41" s="1">
        <f t="shared" ca="1" si="6"/>
        <v>1.0999999999999999</v>
      </c>
      <c r="T41" s="1">
        <f t="shared" ca="1" si="6"/>
        <v>-1.1000000000000001</v>
      </c>
      <c r="U41" s="1">
        <f t="shared" ca="1" si="6"/>
        <v>-1.0999999999999999</v>
      </c>
    </row>
    <row r="42" spans="1:21" x14ac:dyDescent="0.35">
      <c r="A42" s="3" t="s">
        <v>11</v>
      </c>
      <c r="B42" s="4">
        <f t="shared" ref="B42:U42" ca="1" si="7">_xlfn.STDEV.P(B29:B39)</f>
        <v>0.63245553203367566</v>
      </c>
      <c r="C42" s="4">
        <f t="shared" ca="1" si="7"/>
        <v>0.31622776601683844</v>
      </c>
      <c r="D42" s="4">
        <f t="shared" ca="1" si="7"/>
        <v>0.63245553203367577</v>
      </c>
      <c r="E42" s="4">
        <f t="shared" ca="1" si="7"/>
        <v>0.316227766016838</v>
      </c>
      <c r="F42" s="4">
        <f t="shared" ca="1" si="7"/>
        <v>0.63245553203367588</v>
      </c>
      <c r="G42" s="4">
        <f t="shared" ca="1" si="7"/>
        <v>0.31622776601683844</v>
      </c>
      <c r="H42" s="4">
        <f t="shared" ca="1" si="7"/>
        <v>0.63245553203367566</v>
      </c>
      <c r="I42" s="4">
        <f t="shared" ca="1" si="7"/>
        <v>0.31622776601683783</v>
      </c>
      <c r="J42" s="4">
        <f t="shared" ca="1" si="7"/>
        <v>0.63245553203367588</v>
      </c>
      <c r="K42" s="4">
        <f t="shared" ca="1" si="7"/>
        <v>0.31622776601683861</v>
      </c>
      <c r="L42" s="1">
        <f t="shared" ca="1" si="7"/>
        <v>0.31780497164141414</v>
      </c>
      <c r="M42" s="1">
        <f t="shared" ca="1" si="7"/>
        <v>0.31780497164141358</v>
      </c>
      <c r="N42" s="1">
        <f t="shared" ca="1" si="7"/>
        <v>0.31780497164141408</v>
      </c>
      <c r="O42" s="1">
        <f t="shared" ca="1" si="7"/>
        <v>0.31780497164141408</v>
      </c>
      <c r="P42" s="1">
        <f t="shared" ca="1" si="7"/>
        <v>0.31780497164141358</v>
      </c>
      <c r="Q42" s="1">
        <f t="shared" ca="1" si="7"/>
        <v>0.3178049716414143</v>
      </c>
      <c r="R42" s="1">
        <f t="shared" ca="1" si="7"/>
        <v>0.31780497164141486</v>
      </c>
      <c r="S42" s="1">
        <f t="shared" ca="1" si="7"/>
        <v>0.31780497164141486</v>
      </c>
      <c r="T42" s="1">
        <f t="shared" ca="1" si="7"/>
        <v>0.31780497164141375</v>
      </c>
      <c r="U42" s="1">
        <f t="shared" ca="1" si="7"/>
        <v>0.31780497164141486</v>
      </c>
    </row>
    <row r="43" spans="1:21" x14ac:dyDescent="0.35">
      <c r="A43" t="s">
        <v>12</v>
      </c>
      <c r="B43" s="1">
        <f t="shared" ref="B43:U43" ca="1" si="8">_xlfn.SKEW.P(B29:B39)</f>
        <v>3.0278809762504267E-17</v>
      </c>
      <c r="C43" s="1">
        <f t="shared" ca="1" si="8"/>
        <v>8.4780667335011958E-16</v>
      </c>
      <c r="D43" s="1">
        <f t="shared" ca="1" si="8"/>
        <v>-4.339962732625612E-16</v>
      </c>
      <c r="E43" s="1">
        <f t="shared" ca="1" si="8"/>
        <v>4.0371746350005691E-16</v>
      </c>
      <c r="F43" s="1">
        <f t="shared" ca="1" si="8"/>
        <v>-4.1381040008755832E-16</v>
      </c>
      <c r="G43" s="1">
        <f t="shared" ca="1" si="8"/>
        <v>-2.4223047810003414E-16</v>
      </c>
      <c r="H43" s="1">
        <f t="shared" ca="1" si="8"/>
        <v>-3.6334571715005125E-16</v>
      </c>
      <c r="I43" s="1">
        <f t="shared" ca="1" si="8"/>
        <v>1.1909665173251679E-15</v>
      </c>
      <c r="J43" s="1">
        <f t="shared" ca="1" si="8"/>
        <v>-7.5697024406260675E-16</v>
      </c>
      <c r="K43" s="1">
        <f t="shared" ca="1" si="8"/>
        <v>-5.6520444890007968E-16</v>
      </c>
      <c r="L43" s="4">
        <f t="shared" ca="1" si="8"/>
        <v>2.794540334892154</v>
      </c>
      <c r="M43" s="4">
        <f t="shared" ca="1" si="8"/>
        <v>-2.794540334892154</v>
      </c>
      <c r="N43" s="4">
        <f t="shared" ca="1" si="8"/>
        <v>2.7945403348921518</v>
      </c>
      <c r="O43" s="4">
        <f t="shared" ca="1" si="8"/>
        <v>-2.7945403348921518</v>
      </c>
      <c r="P43" s="4">
        <f t="shared" ca="1" si="8"/>
        <v>2.7945403348921536</v>
      </c>
      <c r="Q43" s="4">
        <f t="shared" ca="1" si="8"/>
        <v>-2.7945403348921536</v>
      </c>
      <c r="R43" s="4">
        <f t="shared" ca="1" si="8"/>
        <v>2.794540334892154</v>
      </c>
      <c r="S43" s="4">
        <f t="shared" ca="1" si="8"/>
        <v>-2.7945403348921505</v>
      </c>
      <c r="T43" s="4">
        <f t="shared" ca="1" si="8"/>
        <v>2.794540334892154</v>
      </c>
      <c r="U43" s="4">
        <f t="shared" ca="1" si="8"/>
        <v>-2.794540334892154</v>
      </c>
    </row>
    <row r="44" spans="1:21" x14ac:dyDescent="0.35">
      <c r="A44" t="s">
        <v>13</v>
      </c>
      <c r="B44" s="1">
        <f t="shared" ref="B44:U44" ca="1" si="9">KURT(B29:B39)</f>
        <v>-1.2000000000000015</v>
      </c>
      <c r="C44" s="1">
        <f t="shared" ca="1" si="9"/>
        <v>-1.200000000000002</v>
      </c>
      <c r="D44" s="1">
        <f t="shared" ca="1" si="9"/>
        <v>-1.2000000000000011</v>
      </c>
      <c r="E44" s="1">
        <f t="shared" ca="1" si="9"/>
        <v>-1.1999999999999997</v>
      </c>
      <c r="F44" s="1">
        <f t="shared" ca="1" si="9"/>
        <v>-1.1999999999999997</v>
      </c>
      <c r="G44" s="1">
        <f t="shared" ca="1" si="9"/>
        <v>-1.1999999999999997</v>
      </c>
      <c r="H44" s="1">
        <f t="shared" ca="1" si="9"/>
        <v>-1.200000000000002</v>
      </c>
      <c r="I44" s="1">
        <f t="shared" ca="1" si="9"/>
        <v>-1.2000000000000011</v>
      </c>
      <c r="J44" s="1">
        <f t="shared" ca="1" si="9"/>
        <v>-1.2000000000000011</v>
      </c>
      <c r="K44" s="1">
        <f t="shared" ca="1" si="9"/>
        <v>-1.2000000000000011</v>
      </c>
      <c r="L44" s="1">
        <f t="shared" ca="1" si="9"/>
        <v>10.711250530993706</v>
      </c>
      <c r="M44" s="1">
        <f t="shared" ca="1" si="9"/>
        <v>10.711250530993706</v>
      </c>
      <c r="N44" s="1">
        <f t="shared" ca="1" si="9"/>
        <v>10.711250530993684</v>
      </c>
      <c r="O44" s="1">
        <f t="shared" ca="1" si="9"/>
        <v>10.711250530993684</v>
      </c>
      <c r="P44" s="1">
        <f t="shared" ca="1" si="9"/>
        <v>10.711250530993702</v>
      </c>
      <c r="Q44" s="1">
        <f t="shared" ca="1" si="9"/>
        <v>10.711250530993706</v>
      </c>
      <c r="R44" s="1">
        <f t="shared" ca="1" si="9"/>
        <v>10.711250530993706</v>
      </c>
      <c r="S44" s="1">
        <f t="shared" ca="1" si="9"/>
        <v>10.711250530993684</v>
      </c>
      <c r="T44" s="1">
        <f t="shared" ca="1" si="9"/>
        <v>10.711250530993706</v>
      </c>
      <c r="U44" s="1">
        <f t="shared" ca="1" si="9"/>
        <v>10.711250530993706</v>
      </c>
    </row>
    <row r="45" spans="1:21" x14ac:dyDescent="0.35">
      <c r="A45" t="s">
        <v>14</v>
      </c>
      <c r="B45" s="1">
        <f t="shared" ref="B45:U45" ca="1" si="10">MIN(B29:B39)</f>
        <v>0</v>
      </c>
      <c r="C45" s="1">
        <f t="shared" ca="1" si="10"/>
        <v>0.5</v>
      </c>
      <c r="D45" s="1">
        <f t="shared" ca="1" si="10"/>
        <v>-1</v>
      </c>
      <c r="E45" s="1">
        <f t="shared" ca="1" si="10"/>
        <v>-0.5</v>
      </c>
      <c r="F45" s="1">
        <f t="shared" ca="1" si="10"/>
        <v>-2</v>
      </c>
      <c r="G45" s="1">
        <f t="shared" ca="1" si="10"/>
        <v>-1.5</v>
      </c>
      <c r="H45" s="1">
        <f t="shared" ca="1" si="10"/>
        <v>0.1</v>
      </c>
      <c r="I45" s="1">
        <f t="shared" ca="1" si="10"/>
        <v>0.6</v>
      </c>
      <c r="J45" s="1">
        <f t="shared" ca="1" si="10"/>
        <v>-2.1</v>
      </c>
      <c r="K45" s="1">
        <f t="shared" ca="1" si="10"/>
        <v>-1.6</v>
      </c>
      <c r="L45" s="1">
        <f t="shared" ca="1" si="10"/>
        <v>0.85</v>
      </c>
      <c r="M45" s="1">
        <f t="shared" ca="1" si="10"/>
        <v>0</v>
      </c>
      <c r="N45" s="1">
        <f t="shared" ca="1" si="10"/>
        <v>-0.15</v>
      </c>
      <c r="O45" s="1">
        <f t="shared" ca="1" si="10"/>
        <v>-1</v>
      </c>
      <c r="P45" s="1">
        <f t="shared" ca="1" si="10"/>
        <v>-1.1499999999999999</v>
      </c>
      <c r="Q45" s="1">
        <f t="shared" ca="1" si="10"/>
        <v>-2</v>
      </c>
      <c r="R45" s="1">
        <f t="shared" ca="1" si="10"/>
        <v>0.95</v>
      </c>
      <c r="S45" s="1">
        <f t="shared" ca="1" si="10"/>
        <v>0.1</v>
      </c>
      <c r="T45" s="1">
        <f t="shared" ca="1" si="10"/>
        <v>-1.25</v>
      </c>
      <c r="U45" s="1">
        <f t="shared" ca="1" si="10"/>
        <v>-2.1</v>
      </c>
    </row>
    <row r="46" spans="1:21" x14ac:dyDescent="0.35">
      <c r="A46" t="s">
        <v>15</v>
      </c>
      <c r="B46" s="1">
        <f t="shared" ref="B46:U46" ca="1" si="11">MAX(B29:B39)</f>
        <v>2</v>
      </c>
      <c r="C46" s="1">
        <f t="shared" ca="1" si="11"/>
        <v>1.5</v>
      </c>
      <c r="D46" s="1">
        <f t="shared" ca="1" si="11"/>
        <v>0.99999999999999978</v>
      </c>
      <c r="E46" s="1">
        <f t="shared" ca="1" si="11"/>
        <v>0.50000000000000022</v>
      </c>
      <c r="F46" s="1">
        <f t="shared" ca="1" si="11"/>
        <v>0</v>
      </c>
      <c r="G46" s="1">
        <f t="shared" ca="1" si="11"/>
        <v>-0.49999999999999978</v>
      </c>
      <c r="H46" s="1">
        <f t="shared" ca="1" si="11"/>
        <v>2.1</v>
      </c>
      <c r="I46" s="1">
        <f t="shared" ca="1" si="11"/>
        <v>1.6</v>
      </c>
      <c r="J46" s="1">
        <f t="shared" ca="1" si="11"/>
        <v>-0.1</v>
      </c>
      <c r="K46" s="1">
        <f t="shared" ca="1" si="11"/>
        <v>-0.59999999999999976</v>
      </c>
      <c r="L46" s="1">
        <f t="shared" ca="1" si="11"/>
        <v>2</v>
      </c>
      <c r="M46" s="1">
        <f t="shared" ca="1" si="11"/>
        <v>1.1499999999999999</v>
      </c>
      <c r="N46" s="1">
        <f t="shared" ca="1" si="11"/>
        <v>1</v>
      </c>
      <c r="O46" s="1">
        <f t="shared" ca="1" si="11"/>
        <v>0.15000000000000011</v>
      </c>
      <c r="P46" s="1">
        <f t="shared" ca="1" si="11"/>
        <v>0</v>
      </c>
      <c r="Q46" s="1">
        <f t="shared" ca="1" si="11"/>
        <v>-0.84999999999999987</v>
      </c>
      <c r="R46" s="1">
        <f t="shared" ca="1" si="11"/>
        <v>2.1</v>
      </c>
      <c r="S46" s="1">
        <f t="shared" ca="1" si="11"/>
        <v>1.25</v>
      </c>
      <c r="T46" s="1">
        <f t="shared" ca="1" si="11"/>
        <v>-0.1</v>
      </c>
      <c r="U46" s="1">
        <f t="shared" ca="1" si="11"/>
        <v>-0.94999999999999984</v>
      </c>
    </row>
    <row r="47" spans="1:21" x14ac:dyDescent="0.35">
      <c r="A47" t="s">
        <v>16</v>
      </c>
      <c r="B47" s="1">
        <f ca="1">CORREL(B29:B39,C29:C39)</f>
        <v>0.12727272727272737</v>
      </c>
      <c r="D47" s="1">
        <f ca="1">CORREL(D29:D39,E29:E39)</f>
        <v>-0.29090909090909095</v>
      </c>
      <c r="F47" s="1">
        <f ca="1">CORREL(F29:F39,G29:G39)</f>
        <v>-0.33636363636363636</v>
      </c>
      <c r="H47" s="1">
        <f ca="1">CORREL(H29:H39,I29:I39)</f>
        <v>0.2</v>
      </c>
      <c r="J47" s="1">
        <f ca="1">CORREL(J29:J39,K29:K39)</f>
        <v>0.46363636363636357</v>
      </c>
      <c r="L47" s="1">
        <f ca="1">CORREL(L29:L39,M29:M39)</f>
        <v>0.18712871287128705</v>
      </c>
      <c r="N47" s="1">
        <f ca="1">CORREL(N29:N39,O29:O39)</f>
        <v>9.9549954995499568E-2</v>
      </c>
      <c r="P47" s="1">
        <f ca="1">CORREL(P29:P39,Q29:Q39)</f>
        <v>0.12934293429342944</v>
      </c>
      <c r="R47" s="1">
        <f ca="1">CORREL(R29:R39,S29:S39)</f>
        <v>2.8352835283528287E-2</v>
      </c>
      <c r="T47" s="1">
        <f ca="1">CORREL(T29:T39,U29:U39)</f>
        <v>0.1224122412241225</v>
      </c>
    </row>
    <row r="48" spans="1:21" x14ac:dyDescent="0.35">
      <c r="A48" t="s">
        <v>17</v>
      </c>
      <c r="B48">
        <f t="array" aca="1" ref="B48" ca="1">SUMPRODUCT((B29:B39&gt;C29:C39)*1)</f>
        <v>4</v>
      </c>
      <c r="C48">
        <f t="array" aca="1" ref="C48" ca="1">SUMPRODUCT((B29:B39&lt;C29:C39)*1)</f>
        <v>7</v>
      </c>
      <c r="D48">
        <f t="array" aca="1" ref="D48" ca="1">SUMPRODUCT((D29:D39&gt;E29:E39)*1)</f>
        <v>6</v>
      </c>
      <c r="E48">
        <f t="array" aca="1" ref="E48" ca="1">SUMPRODUCT((D29:D39&lt;E29:E39)*1)</f>
        <v>5</v>
      </c>
      <c r="F48">
        <f t="array" aca="1" ref="F48" ca="1">SUMPRODUCT((F29:F39&gt;G29:G39)*1)</f>
        <v>6</v>
      </c>
      <c r="G48">
        <f t="array" aca="1" ref="G48" ca="1">SUMPRODUCT((F29:F39&lt;G29:G39)*1)</f>
        <v>5</v>
      </c>
      <c r="H48">
        <f t="array" aca="1" ref="H48" ca="1">SUMPRODUCT((H29:H39&gt;I29:I39)*1)</f>
        <v>6</v>
      </c>
      <c r="I48">
        <f t="array" aca="1" ref="I48" ca="1">SUMPRODUCT((H29:H39&lt;I29:I39)*1)</f>
        <v>4</v>
      </c>
      <c r="J48">
        <f t="array" aca="1" ref="J48" ca="1">SUMPRODUCT((J29:J39&gt;K29:K39)*1)</f>
        <v>5</v>
      </c>
      <c r="K48">
        <f t="array" aca="1" ref="K48" ca="1">SUMPRODUCT((J29:J39&lt;K29:K39)*1)</f>
        <v>6</v>
      </c>
      <c r="L48">
        <f t="array" aca="1" ref="L48" ca="1">SUMPRODUCT((L29:L39&gt;M29:M39)*1)</f>
        <v>2</v>
      </c>
      <c r="M48">
        <f t="array" aca="1" ref="M48" ca="1">SUMPRODUCT((L29:L39&lt;M29:M39)*1)</f>
        <v>9</v>
      </c>
      <c r="N48">
        <f t="array" aca="1" ref="N48" ca="1">SUMPRODUCT((N29:N39&gt;O29:O39)*1)</f>
        <v>2</v>
      </c>
      <c r="O48">
        <f t="array" aca="1" ref="O48" ca="1">SUMPRODUCT((N29:N39&lt;O29:O39)*1)</f>
        <v>9</v>
      </c>
      <c r="P48">
        <f t="array" aca="1" ref="P48" ca="1">SUMPRODUCT((P29:P39&gt;Q29:Q39)*1)</f>
        <v>2</v>
      </c>
      <c r="Q48">
        <f t="array" aca="1" ref="Q48" ca="1">SUMPRODUCT((P29:P39&lt;Q29:Q39)*1)</f>
        <v>9</v>
      </c>
      <c r="R48">
        <f t="array" aca="1" ref="R48" ca="1">SUMPRODUCT((R29:R39&gt;S29:S39)*1)</f>
        <v>2</v>
      </c>
      <c r="S48">
        <f t="array" aca="1" ref="S48" ca="1">SUMPRODUCT((R29:R39&lt;S29:S39)*1)</f>
        <v>9</v>
      </c>
      <c r="T48">
        <f t="array" aca="1" ref="T48" ca="1">SUMPRODUCT((T29:T39&gt;U29:U39)*1)</f>
        <v>2</v>
      </c>
      <c r="U48">
        <f t="array" aca="1" ref="U48" ca="1">SUMPRODUCT((T29:T39&lt;U29:U39)*1)</f>
        <v>9</v>
      </c>
    </row>
    <row r="49" spans="1:28" x14ac:dyDescent="0.35">
      <c r="A49" s="5" t="s">
        <v>18</v>
      </c>
      <c r="B49" s="6" t="str">
        <f ca="1">IF(B48&gt;C48,"A",IF(C48&gt;B48,"B","Equal"))</f>
        <v>B</v>
      </c>
      <c r="D49" s="6" t="str">
        <f ca="1">IF(D48&gt;E48,"A",IF(E48&gt;D48,"B","Equal"))</f>
        <v>A</v>
      </c>
      <c r="F49" s="6" t="str">
        <f ca="1">IF(F48&gt;G48,"A",IF(G48&gt;F48,"B","Equal"))</f>
        <v>A</v>
      </c>
      <c r="H49" s="6" t="str">
        <f ca="1">IF(H48&gt;I48,"A",IF(I48&gt;H48,"B","Equal"))</f>
        <v>A</v>
      </c>
      <c r="J49" s="6" t="str">
        <f ca="1">IF(J48&gt;K48,"A",IF(K48&gt;J48,"B","Equal"))</f>
        <v>B</v>
      </c>
      <c r="L49" s="6" t="str">
        <f ca="1">IF(L48&gt;M48,"A",IF(M48&gt;L48,"B","Equal"))</f>
        <v>B</v>
      </c>
      <c r="N49" s="6" t="str">
        <f ca="1">IF(N48&gt;O48,"A",IF(O48&gt;N48,"B","Equal"))</f>
        <v>B</v>
      </c>
      <c r="P49" s="6" t="str">
        <f ca="1">IF(P48&gt;Q48,"A",IF(Q48&gt;P48,"B","Equal"))</f>
        <v>B</v>
      </c>
      <c r="R49" s="6" t="str">
        <f ca="1">IF(R48&gt;S48,"A",IF(S48&gt;R48,"B","Equal"))</f>
        <v>B</v>
      </c>
      <c r="T49" s="6" t="str">
        <f ca="1">IF(T48&gt;U48,"A",IF(U48&gt;T48,"B","Equal"))</f>
        <v>B</v>
      </c>
    </row>
    <row r="50" spans="1:28" x14ac:dyDescent="0.35">
      <c r="A50" t="s">
        <v>19</v>
      </c>
      <c r="B50">
        <f ca="1">MAX(B48:C48)</f>
        <v>7</v>
      </c>
      <c r="D50">
        <f ca="1">MAX(D48:E48)</f>
        <v>6</v>
      </c>
      <c r="F50">
        <f ca="1">MAX(F48:G48)</f>
        <v>6</v>
      </c>
      <c r="H50">
        <f ca="1">MAX(H48:I48)</f>
        <v>6</v>
      </c>
      <c r="J50">
        <f ca="1">MAX(J48:K48)</f>
        <v>6</v>
      </c>
      <c r="L50">
        <f ca="1">MAX(L48:M48)</f>
        <v>9</v>
      </c>
      <c r="N50">
        <f ca="1">MAX(N48:O48)</f>
        <v>9</v>
      </c>
      <c r="P50">
        <f ca="1">MAX(P48:Q48)</f>
        <v>9</v>
      </c>
      <c r="R50">
        <f ca="1">MAX(R48:S48)</f>
        <v>9</v>
      </c>
      <c r="T50">
        <f ca="1">MAX(T48:U48)</f>
        <v>9</v>
      </c>
    </row>
    <row r="52" spans="1:28" x14ac:dyDescent="0.35">
      <c r="A52" s="7" t="s">
        <v>22</v>
      </c>
    </row>
    <row r="54" spans="1:28" x14ac:dyDescent="0.35">
      <c r="A54" s="2"/>
      <c r="B54" s="11" t="s">
        <v>0</v>
      </c>
      <c r="C54" s="12"/>
      <c r="D54" s="11" t="s">
        <v>1</v>
      </c>
      <c r="E54" s="12"/>
      <c r="F54" s="11" t="s">
        <v>2</v>
      </c>
      <c r="G54" s="12"/>
      <c r="H54" s="11" t="s">
        <v>3</v>
      </c>
      <c r="I54" s="12"/>
      <c r="J54" s="11" t="s">
        <v>4</v>
      </c>
      <c r="K54" s="12"/>
      <c r="L54" s="11" t="s">
        <v>5</v>
      </c>
      <c r="M54" s="12"/>
      <c r="N54" s="11" t="s">
        <v>6</v>
      </c>
      <c r="O54" s="12"/>
      <c r="P54" s="11" t="s">
        <v>7</v>
      </c>
      <c r="Q54" s="12"/>
      <c r="R54" s="11" t="s">
        <v>8</v>
      </c>
      <c r="S54" s="12"/>
      <c r="T54" s="11" t="s">
        <v>9</v>
      </c>
      <c r="U54" s="12"/>
    </row>
    <row r="55" spans="1:28" x14ac:dyDescent="0.35">
      <c r="B55" s="1">
        <v>0</v>
      </c>
      <c r="C55" s="1">
        <v>0.79999999999999993</v>
      </c>
      <c r="D55" s="1">
        <v>-1</v>
      </c>
      <c r="E55" s="1">
        <v>-0.20000000000000009</v>
      </c>
      <c r="F55" s="1">
        <v>-2</v>
      </c>
      <c r="G55" s="1">
        <v>-1.2</v>
      </c>
      <c r="H55" s="1">
        <v>0.1</v>
      </c>
      <c r="I55" s="1">
        <v>0.89999999999999991</v>
      </c>
      <c r="J55" s="1">
        <v>-2.1</v>
      </c>
      <c r="K55" s="1">
        <v>-1.3</v>
      </c>
      <c r="L55" s="1">
        <v>0.85</v>
      </c>
      <c r="M55" s="1">
        <v>1.05</v>
      </c>
      <c r="N55" s="1">
        <v>-0.15</v>
      </c>
      <c r="O55" s="1">
        <v>5.0000000000000037E-2</v>
      </c>
      <c r="P55" s="1">
        <v>-1.1499999999999999</v>
      </c>
      <c r="Q55" s="1">
        <v>-0.95</v>
      </c>
      <c r="R55" s="1">
        <v>0.95</v>
      </c>
      <c r="S55" s="1">
        <v>1.1499999999999999</v>
      </c>
      <c r="T55" s="1">
        <v>-1.25</v>
      </c>
      <c r="U55" s="1">
        <v>-1.05</v>
      </c>
      <c r="V55" s="1"/>
      <c r="W55" s="1"/>
      <c r="X55" s="1"/>
      <c r="Y55" s="1"/>
      <c r="Z55" s="1"/>
      <c r="AB55" s="1"/>
    </row>
    <row r="56" spans="1:28" x14ac:dyDescent="0.35">
      <c r="B56" s="1">
        <v>0.2</v>
      </c>
      <c r="C56" s="1">
        <v>0.89999999999999991</v>
      </c>
      <c r="D56" s="1">
        <v>-0.8</v>
      </c>
      <c r="E56" s="1">
        <v>-0.1000000000000001</v>
      </c>
      <c r="F56" s="1">
        <v>-1.8</v>
      </c>
      <c r="G56" s="1">
        <v>-1.1000000000000001</v>
      </c>
      <c r="H56" s="1">
        <v>0.3</v>
      </c>
      <c r="I56" s="1">
        <v>0.99999999999999989</v>
      </c>
      <c r="J56" s="1">
        <v>-1.9</v>
      </c>
      <c r="K56" s="1">
        <v>-1.2</v>
      </c>
      <c r="L56" s="1">
        <v>0.86</v>
      </c>
      <c r="M56" s="1">
        <v>1.06</v>
      </c>
      <c r="N56" s="1">
        <v>-0.14000000000000001</v>
      </c>
      <c r="O56" s="1">
        <v>6.0000000000000053E-2</v>
      </c>
      <c r="P56" s="1">
        <v>-1.1399999999999999</v>
      </c>
      <c r="Q56" s="1">
        <v>-0.94</v>
      </c>
      <c r="R56" s="1">
        <v>0.96</v>
      </c>
      <c r="S56" s="1">
        <v>1.1599999999999999</v>
      </c>
      <c r="T56" s="1">
        <v>-1.24</v>
      </c>
      <c r="U56" s="1">
        <v>-1.04</v>
      </c>
      <c r="V56" s="1"/>
      <c r="W56" s="1"/>
      <c r="X56" s="1"/>
      <c r="Y56" s="1"/>
      <c r="Z56" s="1"/>
      <c r="AB56" s="1"/>
    </row>
    <row r="57" spans="1:28" x14ac:dyDescent="0.35">
      <c r="B57" s="1">
        <v>0.4</v>
      </c>
      <c r="C57" s="1">
        <v>0.99999999999999989</v>
      </c>
      <c r="D57" s="1">
        <v>-0.6</v>
      </c>
      <c r="E57" s="1">
        <v>0</v>
      </c>
      <c r="F57" s="1">
        <v>-1.6</v>
      </c>
      <c r="G57" s="1">
        <v>-1</v>
      </c>
      <c r="H57" s="1">
        <v>0.5</v>
      </c>
      <c r="I57" s="1">
        <v>1.1000000000000001</v>
      </c>
      <c r="J57" s="1">
        <v>-1.7</v>
      </c>
      <c r="K57" s="1">
        <v>-1.1000000000000001</v>
      </c>
      <c r="L57" s="1">
        <v>0.87</v>
      </c>
      <c r="M57" s="1">
        <v>1.07</v>
      </c>
      <c r="N57" s="1">
        <v>-0.13</v>
      </c>
      <c r="O57" s="1">
        <v>7.0000000000000062E-2</v>
      </c>
      <c r="P57" s="1">
        <v>-1.1299999999999999</v>
      </c>
      <c r="Q57" s="1">
        <v>-0.92999999999999994</v>
      </c>
      <c r="R57" s="1">
        <v>0.97</v>
      </c>
      <c r="S57" s="1">
        <v>1.17</v>
      </c>
      <c r="T57" s="1">
        <v>-1.23</v>
      </c>
      <c r="U57" s="1">
        <v>-1.03</v>
      </c>
      <c r="V57" s="1"/>
      <c r="W57" s="1"/>
      <c r="X57" s="1"/>
      <c r="Y57" s="1"/>
      <c r="Z57" s="1"/>
      <c r="AB57" s="1"/>
    </row>
    <row r="58" spans="1:28" x14ac:dyDescent="0.35">
      <c r="B58" s="1">
        <v>0.60000000000000009</v>
      </c>
      <c r="C58" s="1">
        <v>1.1000000000000001</v>
      </c>
      <c r="D58" s="1">
        <v>-0.39999999999999991</v>
      </c>
      <c r="E58" s="1">
        <v>9.9999999999999867E-2</v>
      </c>
      <c r="F58" s="1">
        <v>-1.4</v>
      </c>
      <c r="G58" s="1">
        <v>-0.90000000000000013</v>
      </c>
      <c r="H58" s="1">
        <v>0.70000000000000007</v>
      </c>
      <c r="I58" s="1">
        <v>1.2</v>
      </c>
      <c r="J58" s="1">
        <v>-1.5</v>
      </c>
      <c r="K58" s="1">
        <v>-1</v>
      </c>
      <c r="L58" s="1">
        <v>0.88</v>
      </c>
      <c r="M58" s="1">
        <v>1.08</v>
      </c>
      <c r="N58" s="1">
        <v>-0.12</v>
      </c>
      <c r="O58" s="1">
        <v>8.0000000000000071E-2</v>
      </c>
      <c r="P58" s="1">
        <v>-1.1200000000000001</v>
      </c>
      <c r="Q58" s="1">
        <v>-0.91999999999999993</v>
      </c>
      <c r="R58" s="1">
        <v>0.98</v>
      </c>
      <c r="S58" s="1">
        <v>1.18</v>
      </c>
      <c r="T58" s="1">
        <v>-1.22</v>
      </c>
      <c r="U58" s="1">
        <v>-1.02</v>
      </c>
      <c r="V58" s="1"/>
      <c r="W58" s="1"/>
      <c r="X58" s="1"/>
      <c r="Y58" s="1"/>
      <c r="Z58" s="1"/>
      <c r="AB58" s="1"/>
    </row>
    <row r="59" spans="1:28" x14ac:dyDescent="0.35">
      <c r="B59" s="1">
        <v>0.8</v>
      </c>
      <c r="C59" s="1">
        <v>1.2</v>
      </c>
      <c r="D59" s="1">
        <v>-0.2</v>
      </c>
      <c r="E59" s="1">
        <v>0.2</v>
      </c>
      <c r="F59" s="1">
        <v>-1.2</v>
      </c>
      <c r="G59" s="1">
        <v>-0.8</v>
      </c>
      <c r="H59" s="1">
        <v>0.9</v>
      </c>
      <c r="I59" s="1">
        <v>1.3</v>
      </c>
      <c r="J59" s="1">
        <v>-1.3</v>
      </c>
      <c r="K59" s="1">
        <v>-0.9</v>
      </c>
      <c r="L59" s="1">
        <v>0.89</v>
      </c>
      <c r="M59" s="1">
        <v>1.0900000000000001</v>
      </c>
      <c r="N59" s="1">
        <v>-0.11</v>
      </c>
      <c r="O59" s="1">
        <v>9.000000000000008E-2</v>
      </c>
      <c r="P59" s="1">
        <v>-1.1100000000000001</v>
      </c>
      <c r="Q59" s="1">
        <v>-0.90999999999999992</v>
      </c>
      <c r="R59" s="1">
        <v>0.99</v>
      </c>
      <c r="S59" s="1">
        <v>1.19</v>
      </c>
      <c r="T59" s="1">
        <v>-1.21</v>
      </c>
      <c r="U59" s="1">
        <v>-1.01</v>
      </c>
      <c r="V59" s="1"/>
      <c r="W59" s="1"/>
      <c r="X59" s="1"/>
      <c r="Y59" s="1"/>
      <c r="Z59" s="1"/>
      <c r="AB59" s="1"/>
    </row>
    <row r="60" spans="1:28" x14ac:dyDescent="0.35">
      <c r="B60" s="1">
        <v>1</v>
      </c>
      <c r="C60" s="1">
        <v>1.3</v>
      </c>
      <c r="D60" s="1">
        <v>0</v>
      </c>
      <c r="E60" s="1">
        <v>0.3</v>
      </c>
      <c r="F60" s="1">
        <v>-1</v>
      </c>
      <c r="G60" s="1">
        <v>-0.7</v>
      </c>
      <c r="H60" s="1">
        <v>1.1000000000000001</v>
      </c>
      <c r="I60" s="1">
        <v>1.4</v>
      </c>
      <c r="J60" s="1">
        <v>-1.1000000000000001</v>
      </c>
      <c r="K60" s="1">
        <v>-0.79999999999999993</v>
      </c>
      <c r="L60" s="1">
        <v>0.91</v>
      </c>
      <c r="M60" s="1">
        <v>1.1100000000000001</v>
      </c>
      <c r="N60" s="1">
        <v>-8.9999999999999969E-2</v>
      </c>
      <c r="O60" s="1">
        <v>0.1100000000000001</v>
      </c>
      <c r="P60" s="1">
        <v>-1.0900000000000001</v>
      </c>
      <c r="Q60" s="1">
        <v>-0.8899999999999999</v>
      </c>
      <c r="R60" s="1">
        <v>1.01</v>
      </c>
      <c r="S60" s="1">
        <v>1.21</v>
      </c>
      <c r="T60" s="1">
        <v>-1.19</v>
      </c>
      <c r="U60" s="1">
        <v>-0.98999999999999988</v>
      </c>
      <c r="V60" s="1"/>
      <c r="W60" s="1"/>
      <c r="X60" s="1"/>
      <c r="Y60" s="1"/>
      <c r="Z60" s="1"/>
      <c r="AB60" s="1"/>
    </row>
    <row r="61" spans="1:28" x14ac:dyDescent="0.35">
      <c r="B61" s="1">
        <v>1.2</v>
      </c>
      <c r="C61" s="1">
        <v>1.4</v>
      </c>
      <c r="D61" s="1">
        <v>0.2</v>
      </c>
      <c r="E61" s="1">
        <v>0.40000000000000008</v>
      </c>
      <c r="F61" s="1">
        <v>-0.8</v>
      </c>
      <c r="G61" s="1">
        <v>-0.59999999999999987</v>
      </c>
      <c r="H61" s="1">
        <v>1.3</v>
      </c>
      <c r="I61" s="1">
        <v>1.5</v>
      </c>
      <c r="J61" s="1">
        <v>-0.9</v>
      </c>
      <c r="K61" s="1">
        <v>-0.69999999999999984</v>
      </c>
      <c r="L61" s="1">
        <v>0.92</v>
      </c>
      <c r="M61" s="1">
        <v>1.1200000000000001</v>
      </c>
      <c r="N61" s="1">
        <v>-7.999999999999996E-2</v>
      </c>
      <c r="O61" s="1">
        <v>0.12000000000000011</v>
      </c>
      <c r="P61" s="1">
        <v>-1.08</v>
      </c>
      <c r="Q61" s="1">
        <v>-0.87999999999999989</v>
      </c>
      <c r="R61" s="1">
        <v>1.02</v>
      </c>
      <c r="S61" s="1">
        <v>1.22</v>
      </c>
      <c r="T61" s="1">
        <v>-1.18</v>
      </c>
      <c r="U61" s="1">
        <v>-0.97999999999999987</v>
      </c>
      <c r="V61" s="1"/>
      <c r="W61" s="1"/>
      <c r="X61" s="1"/>
      <c r="Y61" s="1"/>
      <c r="Z61" s="1"/>
      <c r="AB61" s="1"/>
    </row>
    <row r="62" spans="1:28" x14ac:dyDescent="0.35">
      <c r="B62" s="1">
        <v>1.4</v>
      </c>
      <c r="C62" s="1">
        <v>1.5</v>
      </c>
      <c r="D62" s="1">
        <v>0.39999999999999991</v>
      </c>
      <c r="E62" s="1">
        <v>0.50000000000000022</v>
      </c>
      <c r="F62" s="1">
        <v>-0.60000000000000009</v>
      </c>
      <c r="G62" s="1">
        <v>-0.49999999999999978</v>
      </c>
      <c r="H62" s="1">
        <v>1.5</v>
      </c>
      <c r="I62" s="1">
        <v>1.6</v>
      </c>
      <c r="J62" s="1">
        <v>-0.70000000000000007</v>
      </c>
      <c r="K62" s="1">
        <v>-0.59999999999999976</v>
      </c>
      <c r="L62" s="1">
        <v>0.93</v>
      </c>
      <c r="M62" s="1">
        <v>1.1299999999999999</v>
      </c>
      <c r="N62" s="1">
        <v>-6.9999999999999951E-2</v>
      </c>
      <c r="O62" s="1">
        <v>0.13000000000000009</v>
      </c>
      <c r="P62" s="1">
        <v>-1.07</v>
      </c>
      <c r="Q62" s="1">
        <v>-0.86999999999999988</v>
      </c>
      <c r="R62" s="1">
        <v>1.03</v>
      </c>
      <c r="S62" s="1">
        <v>1.23</v>
      </c>
      <c r="T62" s="1">
        <v>-1.17</v>
      </c>
      <c r="U62" s="1">
        <v>-0.96999999999999986</v>
      </c>
      <c r="V62" s="1"/>
      <c r="W62" s="1"/>
      <c r="X62" s="1"/>
      <c r="Y62" s="1"/>
      <c r="Z62" s="1"/>
      <c r="AB62" s="1"/>
    </row>
    <row r="63" spans="1:28" x14ac:dyDescent="0.35">
      <c r="B63" s="1">
        <v>1.6</v>
      </c>
      <c r="C63" s="1">
        <v>0.5</v>
      </c>
      <c r="D63" s="1">
        <v>0.59999999999999987</v>
      </c>
      <c r="E63" s="1">
        <v>-0.5</v>
      </c>
      <c r="F63" s="1">
        <v>-0.40000000000000008</v>
      </c>
      <c r="G63" s="1">
        <v>-1.5</v>
      </c>
      <c r="H63" s="1">
        <v>1.7</v>
      </c>
      <c r="I63" s="1">
        <v>0.6</v>
      </c>
      <c r="J63" s="1">
        <v>-0.50000000000000011</v>
      </c>
      <c r="K63" s="1">
        <v>-1.6</v>
      </c>
      <c r="L63" s="1">
        <v>0.94000000000000006</v>
      </c>
      <c r="M63" s="1">
        <v>1.1399999999999999</v>
      </c>
      <c r="N63" s="1">
        <v>-5.9999999999999942E-2</v>
      </c>
      <c r="O63" s="1">
        <v>0.1400000000000001</v>
      </c>
      <c r="P63" s="1">
        <v>-1.06</v>
      </c>
      <c r="Q63" s="1">
        <v>-0.85999999999999988</v>
      </c>
      <c r="R63" s="1">
        <v>1.04</v>
      </c>
      <c r="S63" s="1">
        <v>1.24</v>
      </c>
      <c r="T63" s="1">
        <v>-1.1599999999999999</v>
      </c>
      <c r="U63" s="1">
        <v>-0.95999999999999985</v>
      </c>
      <c r="V63" s="1"/>
      <c r="W63" s="1"/>
      <c r="X63" s="1"/>
      <c r="Y63" s="1"/>
      <c r="Z63" s="1"/>
      <c r="AB63" s="1"/>
    </row>
    <row r="64" spans="1:28" x14ac:dyDescent="0.35">
      <c r="B64" s="1">
        <v>1.8</v>
      </c>
      <c r="C64" s="1">
        <v>0.6</v>
      </c>
      <c r="D64" s="1">
        <v>0.79999999999999982</v>
      </c>
      <c r="E64" s="1">
        <v>-0.4</v>
      </c>
      <c r="F64" s="1">
        <v>-0.20000000000000021</v>
      </c>
      <c r="G64" s="1">
        <v>-1.4</v>
      </c>
      <c r="H64" s="1">
        <v>1.9</v>
      </c>
      <c r="I64" s="1">
        <v>0.7</v>
      </c>
      <c r="J64" s="1">
        <v>-0.30000000000000021</v>
      </c>
      <c r="K64" s="1">
        <v>-1.5</v>
      </c>
      <c r="L64" s="1">
        <v>0.95000000000000007</v>
      </c>
      <c r="M64" s="1">
        <v>1.1499999999999999</v>
      </c>
      <c r="N64" s="1">
        <v>-4.9999999999999933E-2</v>
      </c>
      <c r="O64" s="1">
        <v>0.15000000000000011</v>
      </c>
      <c r="P64" s="1">
        <v>-1.05</v>
      </c>
      <c r="Q64" s="1">
        <v>-0.84999999999999987</v>
      </c>
      <c r="R64" s="1">
        <v>1.05</v>
      </c>
      <c r="S64" s="1">
        <v>1.25</v>
      </c>
      <c r="T64" s="1">
        <v>-1.1499999999999999</v>
      </c>
      <c r="U64" s="1">
        <v>-0.94999999999999984</v>
      </c>
      <c r="V64" s="1"/>
      <c r="W64" s="1"/>
      <c r="X64" s="1"/>
      <c r="Y64" s="1"/>
      <c r="Z64" s="1"/>
      <c r="AB64" s="1"/>
    </row>
    <row r="65" spans="1:28" x14ac:dyDescent="0.35">
      <c r="B65" s="1">
        <v>2</v>
      </c>
      <c r="C65" s="1">
        <v>0.7</v>
      </c>
      <c r="D65" s="1">
        <v>0.99999999999999978</v>
      </c>
      <c r="E65" s="1">
        <v>-0.3</v>
      </c>
      <c r="F65" s="1">
        <v>0</v>
      </c>
      <c r="G65" s="1">
        <v>-1.3</v>
      </c>
      <c r="H65" s="1">
        <v>2.1</v>
      </c>
      <c r="I65" s="1">
        <v>0.79999999999999993</v>
      </c>
      <c r="J65" s="1">
        <v>-0.1</v>
      </c>
      <c r="K65" s="1">
        <v>-1.4</v>
      </c>
      <c r="L65" s="1">
        <v>2</v>
      </c>
      <c r="M65" s="1">
        <v>0</v>
      </c>
      <c r="N65" s="1">
        <v>1</v>
      </c>
      <c r="O65" s="1">
        <v>-1</v>
      </c>
      <c r="P65" s="1">
        <v>0</v>
      </c>
      <c r="Q65" s="1">
        <v>-2</v>
      </c>
      <c r="R65" s="1">
        <v>2.1</v>
      </c>
      <c r="S65" s="1">
        <v>0.1</v>
      </c>
      <c r="T65" s="1">
        <v>-0.1</v>
      </c>
      <c r="U65" s="1">
        <v>-2.1</v>
      </c>
      <c r="V65" s="1"/>
      <c r="W65" s="1"/>
      <c r="X65" s="1"/>
      <c r="Y65" s="1"/>
      <c r="Z65" s="1"/>
      <c r="AB65" s="1"/>
    </row>
    <row r="67" spans="1:28" x14ac:dyDescent="0.35">
      <c r="A67" t="s">
        <v>10</v>
      </c>
      <c r="B67" s="1">
        <f t="shared" ref="B67:U67" si="12">AVERAGE(B55:B65)</f>
        <v>1</v>
      </c>
      <c r="C67" s="1">
        <f t="shared" si="12"/>
        <v>0.99999999999999989</v>
      </c>
      <c r="D67" s="1">
        <f t="shared" si="12"/>
        <v>0</v>
      </c>
      <c r="E67" s="1">
        <f t="shared" si="12"/>
        <v>0</v>
      </c>
      <c r="F67" s="1">
        <f t="shared" si="12"/>
        <v>-1.0000000000000002</v>
      </c>
      <c r="G67" s="1">
        <f t="shared" si="12"/>
        <v>-1.0000000000000002</v>
      </c>
      <c r="H67" s="1">
        <f t="shared" si="12"/>
        <v>1.0999999999999999</v>
      </c>
      <c r="I67" s="1">
        <f t="shared" si="12"/>
        <v>1.0999999999999999</v>
      </c>
      <c r="J67" s="1">
        <f t="shared" si="12"/>
        <v>-1.0999999999999999</v>
      </c>
      <c r="K67" s="1">
        <f t="shared" si="12"/>
        <v>-1.0999999999999999</v>
      </c>
      <c r="L67" s="1">
        <f t="shared" si="12"/>
        <v>0.99999999999999989</v>
      </c>
      <c r="M67" s="1">
        <f t="shared" si="12"/>
        <v>1.0000000000000002</v>
      </c>
      <c r="N67" s="1">
        <f t="shared" si="12"/>
        <v>0</v>
      </c>
      <c r="O67" s="1">
        <f t="shared" si="12"/>
        <v>0</v>
      </c>
      <c r="P67" s="1">
        <f t="shared" si="12"/>
        <v>-1.0000000000000002</v>
      </c>
      <c r="Q67" s="1">
        <f t="shared" si="12"/>
        <v>-0.99999999999999989</v>
      </c>
      <c r="R67" s="1">
        <f t="shared" si="12"/>
        <v>1.0999999999999999</v>
      </c>
      <c r="S67" s="1">
        <f t="shared" si="12"/>
        <v>1.0999999999999999</v>
      </c>
      <c r="T67" s="1">
        <f t="shared" si="12"/>
        <v>-1.0999999999999999</v>
      </c>
      <c r="U67" s="1">
        <f t="shared" si="12"/>
        <v>-1.0999999999999999</v>
      </c>
      <c r="W67" s="1"/>
      <c r="X67" s="1"/>
      <c r="Y67" s="1"/>
      <c r="Z67" s="1"/>
    </row>
    <row r="68" spans="1:28" x14ac:dyDescent="0.35">
      <c r="A68" s="3" t="s">
        <v>11</v>
      </c>
      <c r="B68" s="4">
        <f t="shared" ref="B68:U68" si="13">_xlfn.STDEV.P(B55:B65)</f>
        <v>0.63245553203367588</v>
      </c>
      <c r="C68" s="4">
        <f t="shared" si="13"/>
        <v>0.31622776601683844</v>
      </c>
      <c r="D68" s="4">
        <f t="shared" si="13"/>
        <v>0.63245553203367577</v>
      </c>
      <c r="E68" s="4">
        <f t="shared" si="13"/>
        <v>0.316227766016838</v>
      </c>
      <c r="F68" s="4">
        <f t="shared" si="13"/>
        <v>0.63245553203367566</v>
      </c>
      <c r="G68" s="4">
        <f t="shared" si="13"/>
        <v>0.31622776601683733</v>
      </c>
      <c r="H68" s="4">
        <f t="shared" si="13"/>
        <v>0.63245553203367588</v>
      </c>
      <c r="I68" s="4">
        <f t="shared" si="13"/>
        <v>0.31622776601683783</v>
      </c>
      <c r="J68" s="4">
        <f t="shared" si="13"/>
        <v>0.63245553203367566</v>
      </c>
      <c r="K68" s="4">
        <f t="shared" si="13"/>
        <v>0.31622776601683783</v>
      </c>
      <c r="L68" s="1">
        <f t="shared" si="13"/>
        <v>0.31780497164141469</v>
      </c>
      <c r="M68" s="1">
        <f t="shared" si="13"/>
        <v>0.31780497164141358</v>
      </c>
      <c r="N68" s="1">
        <f t="shared" si="13"/>
        <v>0.31780497164141408</v>
      </c>
      <c r="O68" s="1">
        <f t="shared" si="13"/>
        <v>0.31780497164141408</v>
      </c>
      <c r="P68" s="1">
        <f t="shared" si="13"/>
        <v>0.31780497164141358</v>
      </c>
      <c r="Q68" s="1">
        <f t="shared" si="13"/>
        <v>0.3178049716414143</v>
      </c>
      <c r="R68" s="1">
        <f t="shared" si="13"/>
        <v>0.31780497164141414</v>
      </c>
      <c r="S68" s="1">
        <f t="shared" si="13"/>
        <v>0.31780497164141414</v>
      </c>
      <c r="T68" s="1">
        <f t="shared" si="13"/>
        <v>0.31780497164141414</v>
      </c>
      <c r="U68" s="1">
        <f t="shared" si="13"/>
        <v>0.31780497164141486</v>
      </c>
      <c r="W68" s="1"/>
      <c r="X68" s="1"/>
      <c r="Y68" s="1"/>
      <c r="Z68" s="1"/>
    </row>
    <row r="69" spans="1:28" x14ac:dyDescent="0.35">
      <c r="A69" t="s">
        <v>12</v>
      </c>
      <c r="B69" s="1">
        <f t="shared" ref="B69:U69" si="14">_xlfn.SKEW.P(B55:B65)</f>
        <v>0</v>
      </c>
      <c r="C69" s="1">
        <f t="shared" si="14"/>
        <v>8.679925465251224E-16</v>
      </c>
      <c r="D69" s="1">
        <f t="shared" si="14"/>
        <v>-4.4408920985006262E-16</v>
      </c>
      <c r="E69" s="1">
        <f t="shared" si="14"/>
        <v>4.6427508302506544E-16</v>
      </c>
      <c r="F69" s="1">
        <f t="shared" si="14"/>
        <v>7.6706318065010816E-16</v>
      </c>
      <c r="G69" s="1">
        <f t="shared" si="14"/>
        <v>2.8260222445003983E-15</v>
      </c>
      <c r="H69" s="1">
        <f t="shared" si="14"/>
        <v>5.2483270255007403E-16</v>
      </c>
      <c r="I69" s="1">
        <f t="shared" si="14"/>
        <v>1.1909665173251679E-15</v>
      </c>
      <c r="J69" s="1">
        <f t="shared" si="14"/>
        <v>-7.2669143430010251E-16</v>
      </c>
      <c r="K69" s="1">
        <f t="shared" si="14"/>
        <v>-5.2483270255007403E-16</v>
      </c>
      <c r="L69" s="4">
        <f t="shared" si="14"/>
        <v>2.7945403348921536</v>
      </c>
      <c r="M69" s="4">
        <f t="shared" si="14"/>
        <v>-2.7945403348921536</v>
      </c>
      <c r="N69" s="4">
        <f t="shared" si="14"/>
        <v>2.7945403348921518</v>
      </c>
      <c r="O69" s="4">
        <f t="shared" si="14"/>
        <v>-2.7945403348921518</v>
      </c>
      <c r="P69" s="4">
        <f t="shared" si="14"/>
        <v>2.7945403348921536</v>
      </c>
      <c r="Q69" s="4">
        <f t="shared" si="14"/>
        <v>-2.7945403348921518</v>
      </c>
      <c r="R69" s="4">
        <f t="shared" si="14"/>
        <v>2.7945403348921536</v>
      </c>
      <c r="S69" s="4">
        <f t="shared" si="14"/>
        <v>-2.7945403348921505</v>
      </c>
      <c r="T69" s="4">
        <f t="shared" si="14"/>
        <v>2.7945403348921505</v>
      </c>
      <c r="U69" s="4">
        <f t="shared" si="14"/>
        <v>-2.7945403348921518</v>
      </c>
      <c r="W69" s="1"/>
      <c r="X69" s="1"/>
      <c r="Y69" s="1"/>
      <c r="Z69" s="1"/>
    </row>
    <row r="70" spans="1:28" x14ac:dyDescent="0.35">
      <c r="A70" t="s">
        <v>13</v>
      </c>
      <c r="B70" s="1">
        <f t="shared" ref="B70:U70" si="15">KURT(B55:B65)</f>
        <v>-1.2000000000000015</v>
      </c>
      <c r="C70" s="1">
        <f t="shared" si="15"/>
        <v>-1.200000000000002</v>
      </c>
      <c r="D70" s="1">
        <f t="shared" si="15"/>
        <v>-1.1999999999999997</v>
      </c>
      <c r="E70" s="1">
        <f t="shared" si="15"/>
        <v>-1.1999999999999988</v>
      </c>
      <c r="F70" s="1">
        <f t="shared" si="15"/>
        <v>-1.2000000000000011</v>
      </c>
      <c r="G70" s="1">
        <f t="shared" si="15"/>
        <v>-1.1999999999999997</v>
      </c>
      <c r="H70" s="1">
        <f t="shared" si="15"/>
        <v>-1.2000000000000015</v>
      </c>
      <c r="I70" s="1">
        <f t="shared" si="15"/>
        <v>-1.2000000000000011</v>
      </c>
      <c r="J70" s="1">
        <f t="shared" si="15"/>
        <v>-1.2000000000000011</v>
      </c>
      <c r="K70" s="1">
        <f t="shared" si="15"/>
        <v>-1.2000000000000011</v>
      </c>
      <c r="L70" s="1">
        <f t="shared" si="15"/>
        <v>10.711250530993702</v>
      </c>
      <c r="M70" s="1">
        <f t="shared" si="15"/>
        <v>10.711250530993702</v>
      </c>
      <c r="N70" s="1">
        <f t="shared" si="15"/>
        <v>10.711250530993684</v>
      </c>
      <c r="O70" s="1">
        <f t="shared" si="15"/>
        <v>10.711250530993684</v>
      </c>
      <c r="P70" s="1">
        <f t="shared" si="15"/>
        <v>10.711250530993702</v>
      </c>
      <c r="Q70" s="1">
        <f t="shared" si="15"/>
        <v>10.711250530993684</v>
      </c>
      <c r="R70" s="1">
        <f t="shared" si="15"/>
        <v>10.711250530993702</v>
      </c>
      <c r="S70" s="1">
        <f t="shared" si="15"/>
        <v>10.711250530993684</v>
      </c>
      <c r="T70" s="1">
        <f t="shared" si="15"/>
        <v>10.711250530993684</v>
      </c>
      <c r="U70" s="1">
        <f t="shared" si="15"/>
        <v>10.711250530993691</v>
      </c>
      <c r="W70" s="1"/>
      <c r="X70" s="1"/>
      <c r="Y70" s="1"/>
      <c r="Z70" s="1"/>
    </row>
    <row r="71" spans="1:28" x14ac:dyDescent="0.35">
      <c r="A71" t="s">
        <v>14</v>
      </c>
      <c r="B71" s="1">
        <f t="shared" ref="B71:U71" si="16">MIN(B55:B65)</f>
        <v>0</v>
      </c>
      <c r="C71" s="1">
        <f t="shared" si="16"/>
        <v>0.5</v>
      </c>
      <c r="D71" s="1">
        <f t="shared" si="16"/>
        <v>-1</v>
      </c>
      <c r="E71" s="1">
        <f t="shared" si="16"/>
        <v>-0.5</v>
      </c>
      <c r="F71" s="1">
        <f t="shared" si="16"/>
        <v>-2</v>
      </c>
      <c r="G71" s="1">
        <f t="shared" si="16"/>
        <v>-1.5</v>
      </c>
      <c r="H71" s="1">
        <f t="shared" si="16"/>
        <v>0.1</v>
      </c>
      <c r="I71" s="1">
        <f t="shared" si="16"/>
        <v>0.6</v>
      </c>
      <c r="J71" s="1">
        <f t="shared" si="16"/>
        <v>-2.1</v>
      </c>
      <c r="K71" s="1">
        <f t="shared" si="16"/>
        <v>-1.6</v>
      </c>
      <c r="L71" s="1">
        <f t="shared" si="16"/>
        <v>0.85</v>
      </c>
      <c r="M71" s="1">
        <f t="shared" si="16"/>
        <v>0</v>
      </c>
      <c r="N71" s="1">
        <f t="shared" si="16"/>
        <v>-0.15</v>
      </c>
      <c r="O71" s="1">
        <f t="shared" si="16"/>
        <v>-1</v>
      </c>
      <c r="P71" s="1">
        <f t="shared" si="16"/>
        <v>-1.1499999999999999</v>
      </c>
      <c r="Q71" s="1">
        <f t="shared" si="16"/>
        <v>-2</v>
      </c>
      <c r="R71" s="1">
        <f t="shared" si="16"/>
        <v>0.95</v>
      </c>
      <c r="S71" s="1">
        <f t="shared" si="16"/>
        <v>0.1</v>
      </c>
      <c r="T71" s="1">
        <f t="shared" si="16"/>
        <v>-1.25</v>
      </c>
      <c r="U71" s="1">
        <f t="shared" si="16"/>
        <v>-2.1</v>
      </c>
      <c r="W71" s="1"/>
      <c r="X71" s="1"/>
      <c r="Y71" s="1"/>
      <c r="Z71" s="1"/>
    </row>
    <row r="72" spans="1:28" x14ac:dyDescent="0.35">
      <c r="A72" t="s">
        <v>15</v>
      </c>
      <c r="B72" s="1">
        <f t="shared" ref="B72:U72" si="17">MAX(B55:B65)</f>
        <v>2</v>
      </c>
      <c r="C72" s="1">
        <f t="shared" si="17"/>
        <v>1.5</v>
      </c>
      <c r="D72" s="1">
        <f t="shared" si="17"/>
        <v>0.99999999999999978</v>
      </c>
      <c r="E72" s="1">
        <f t="shared" si="17"/>
        <v>0.50000000000000022</v>
      </c>
      <c r="F72" s="1">
        <f t="shared" si="17"/>
        <v>0</v>
      </c>
      <c r="G72" s="1">
        <f t="shared" si="17"/>
        <v>-0.49999999999999978</v>
      </c>
      <c r="H72" s="1">
        <f t="shared" si="17"/>
        <v>2.1</v>
      </c>
      <c r="I72" s="1">
        <f t="shared" si="17"/>
        <v>1.6</v>
      </c>
      <c r="J72" s="1">
        <f t="shared" si="17"/>
        <v>-0.1</v>
      </c>
      <c r="K72" s="1">
        <f t="shared" si="17"/>
        <v>-0.59999999999999976</v>
      </c>
      <c r="L72" s="1">
        <f t="shared" si="17"/>
        <v>2</v>
      </c>
      <c r="M72" s="1">
        <f t="shared" si="17"/>
        <v>1.1499999999999999</v>
      </c>
      <c r="N72" s="1">
        <f t="shared" si="17"/>
        <v>1</v>
      </c>
      <c r="O72" s="1">
        <f t="shared" si="17"/>
        <v>0.15000000000000011</v>
      </c>
      <c r="P72" s="1">
        <f t="shared" si="17"/>
        <v>0</v>
      </c>
      <c r="Q72" s="1">
        <f t="shared" si="17"/>
        <v>-0.84999999999999987</v>
      </c>
      <c r="R72" s="1">
        <f t="shared" si="17"/>
        <v>2.1</v>
      </c>
      <c r="S72" s="1">
        <f t="shared" si="17"/>
        <v>1.25</v>
      </c>
      <c r="T72" s="1">
        <f t="shared" si="17"/>
        <v>-0.1</v>
      </c>
      <c r="U72" s="1">
        <f t="shared" si="17"/>
        <v>-0.94999999999999984</v>
      </c>
      <c r="W72" s="1"/>
      <c r="X72" s="1"/>
      <c r="Y72" s="1"/>
      <c r="Z72" s="1"/>
    </row>
    <row r="73" spans="1:28" x14ac:dyDescent="0.35">
      <c r="A73" t="s">
        <v>16</v>
      </c>
      <c r="B73" s="1">
        <f>CORREL(B55:B65,C55:C65)</f>
        <v>-0.20000000000000004</v>
      </c>
      <c r="D73" s="1">
        <f>CORREL(D55:D65,E55:E65)</f>
        <v>-0.19999999999999976</v>
      </c>
      <c r="F73" s="1">
        <f>CORREL(F55:F65,G55:G65)</f>
        <v>-0.19999999999999982</v>
      </c>
      <c r="H73" s="1">
        <f>CORREL(H55:H65,I55:I65)</f>
        <v>-0.19999999999999993</v>
      </c>
      <c r="J73" s="1">
        <f>CORREL(J55:J65,K55:K65)</f>
        <v>-0.19999999999999979</v>
      </c>
      <c r="L73" s="1">
        <f>CORREL(L55:L65,M55:M65)</f>
        <v>-0.98019801980198018</v>
      </c>
      <c r="N73" s="1">
        <f>CORREL(N55:N65,O55:O65)</f>
        <v>-0.98019801980198007</v>
      </c>
      <c r="P73" s="1">
        <f>CORREL(P55:P65,Q55:Q65)</f>
        <v>-0.98019801980198007</v>
      </c>
      <c r="R73" s="1">
        <f>CORREL(R55:R65,S55:S65)</f>
        <v>-0.98019801980198007</v>
      </c>
      <c r="T73" s="1">
        <f>CORREL(T55:T65,U55:U65)</f>
        <v>-0.98019801980197996</v>
      </c>
      <c r="W73" s="1"/>
      <c r="Y73" s="1"/>
    </row>
    <row r="74" spans="1:28" x14ac:dyDescent="0.35">
      <c r="A74" s="3" t="s">
        <v>17</v>
      </c>
      <c r="B74" s="3">
        <f t="array" ref="B74">SUMPRODUCT((B55:B65&gt;C55:C65)*1)</f>
        <v>3</v>
      </c>
      <c r="C74" s="3">
        <f t="array" ref="C74">SUMPRODUCT((B55:B65&lt;C55:C65)*1)</f>
        <v>8</v>
      </c>
      <c r="D74" s="3">
        <f t="array" ref="D74">SUMPRODUCT((D55:D65&gt;E55:E65)*1)</f>
        <v>3</v>
      </c>
      <c r="E74" s="3">
        <f t="array" ref="E74">SUMPRODUCT((D55:D65&lt;E55:E65)*1)</f>
        <v>8</v>
      </c>
      <c r="F74" s="3">
        <f t="array" ref="F74">SUMPRODUCT((F55:F65&gt;G55:G65)*1)</f>
        <v>3</v>
      </c>
      <c r="G74" s="3">
        <f t="array" ref="G74">SUMPRODUCT((F55:F65&lt;G55:G65)*1)</f>
        <v>8</v>
      </c>
      <c r="H74" s="3">
        <f t="array" ref="H74">SUMPRODUCT((H55:H65&gt;I55:I65)*1)</f>
        <v>3</v>
      </c>
      <c r="I74" s="3">
        <f t="array" ref="I74">SUMPRODUCT((H55:H65&lt;I55:I65)*1)</f>
        <v>8</v>
      </c>
      <c r="J74" s="3">
        <f t="array" ref="J74">SUMPRODUCT((J55:J65&gt;K55:K65)*1)</f>
        <v>3</v>
      </c>
      <c r="K74" s="3">
        <f t="array" ref="K74">SUMPRODUCT((J55:J65&lt;K55:K65)*1)</f>
        <v>8</v>
      </c>
      <c r="L74" s="3">
        <f t="array" ref="L74">SUMPRODUCT((L55:L65&gt;M55:M65)*1)</f>
        <v>1</v>
      </c>
      <c r="M74" s="3">
        <f t="array" ref="M74">SUMPRODUCT((L55:L65&lt;M55:M65)*1)</f>
        <v>10</v>
      </c>
      <c r="N74" s="3">
        <f t="array" ref="N74">SUMPRODUCT((N55:N65&gt;O55:O65)*1)</f>
        <v>1</v>
      </c>
      <c r="O74" s="3">
        <f t="array" ref="O74">SUMPRODUCT((N55:N65&lt;O55:O65)*1)</f>
        <v>10</v>
      </c>
      <c r="P74" s="3">
        <f t="array" ref="P74">SUMPRODUCT((P55:P65&gt;Q55:Q65)*1)</f>
        <v>1</v>
      </c>
      <c r="Q74" s="3">
        <f t="array" ref="Q74">SUMPRODUCT((P55:P65&lt;Q55:Q65)*1)</f>
        <v>10</v>
      </c>
      <c r="R74" s="3">
        <f t="array" ref="R74">SUMPRODUCT((R55:R65&gt;S55:S65)*1)</f>
        <v>1</v>
      </c>
      <c r="S74" s="3">
        <f t="array" ref="S74">SUMPRODUCT((R55:R65&lt;S55:S65)*1)</f>
        <v>10</v>
      </c>
      <c r="T74" s="3">
        <f t="array" ref="T74">SUMPRODUCT((T55:T65&gt;U55:U65)*1)</f>
        <v>1</v>
      </c>
      <c r="U74" s="3">
        <f t="array" ref="U74">SUMPRODUCT((T55:T65&lt;U55:U65)*1)</f>
        <v>10</v>
      </c>
    </row>
    <row r="75" spans="1:28" x14ac:dyDescent="0.35">
      <c r="A75" s="5" t="s">
        <v>18</v>
      </c>
      <c r="B75" s="6" t="str">
        <f>IF(B74&gt;C74,"A",IF(C74&gt;B74,"B","Equal"))</f>
        <v>B</v>
      </c>
      <c r="D75" s="6" t="str">
        <f>IF(D74&gt;E74,"A",IF(E74&gt;D74,"B","Equal"))</f>
        <v>B</v>
      </c>
      <c r="F75" s="6" t="str">
        <f>IF(F74&gt;G74,"A",IF(G74&gt;F74,"B","Equal"))</f>
        <v>B</v>
      </c>
      <c r="H75" s="6" t="str">
        <f>IF(H74&gt;I74,"A",IF(I74&gt;H74,"B","Equal"))</f>
        <v>B</v>
      </c>
      <c r="J75" s="6" t="str">
        <f>IF(J74&gt;K74,"A",IF(K74&gt;J74,"B","Equal"))</f>
        <v>B</v>
      </c>
      <c r="L75" s="6" t="str">
        <f>IF(L74&gt;M74,"A",IF(M74&gt;L74,"B","Equal"))</f>
        <v>B</v>
      </c>
      <c r="N75" s="6" t="str">
        <f>IF(N74&gt;O74,"A",IF(O74&gt;N74,"B","Equal"))</f>
        <v>B</v>
      </c>
      <c r="P75" s="6" t="str">
        <f>IF(P74&gt;Q74,"A",IF(Q74&gt;P74,"B","Equal"))</f>
        <v>B</v>
      </c>
      <c r="R75" s="6" t="str">
        <f>IF(R74&gt;S74,"A",IF(S74&gt;R74,"B","Equal"))</f>
        <v>B</v>
      </c>
      <c r="T75" s="6" t="str">
        <f>IF(T74&gt;U74,"A",IF(U74&gt;T74,"B","Equal"))</f>
        <v>B</v>
      </c>
      <c r="W75" s="6"/>
      <c r="Y75" s="6"/>
    </row>
    <row r="76" spans="1:28" x14ac:dyDescent="0.35">
      <c r="A76" t="s">
        <v>19</v>
      </c>
      <c r="B76">
        <f>MAX(B74:C74)</f>
        <v>8</v>
      </c>
      <c r="D76">
        <f>MAX(D74:E74)</f>
        <v>8</v>
      </c>
      <c r="F76">
        <f>MAX(F74:G74)</f>
        <v>8</v>
      </c>
      <c r="H76">
        <f>MAX(H74:I74)</f>
        <v>8</v>
      </c>
      <c r="J76">
        <f>MAX(J74:K74)</f>
        <v>8</v>
      </c>
      <c r="L76">
        <f>MAX(L74:M74)</f>
        <v>10</v>
      </c>
      <c r="N76">
        <f>MAX(N74:O74)</f>
        <v>10</v>
      </c>
      <c r="P76">
        <f>MAX(P74:Q74)</f>
        <v>10</v>
      </c>
      <c r="R76">
        <f>MAX(R74:S74)</f>
        <v>10</v>
      </c>
      <c r="T76">
        <f>MAX(T74:U74)</f>
        <v>10</v>
      </c>
    </row>
    <row r="78" spans="1:28" x14ac:dyDescent="0.35">
      <c r="A78" s="7" t="s">
        <v>23</v>
      </c>
    </row>
    <row r="80" spans="1:28" x14ac:dyDescent="0.35">
      <c r="A80" s="2"/>
      <c r="B80" s="11" t="s">
        <v>0</v>
      </c>
      <c r="C80" s="12"/>
      <c r="D80" s="11" t="s">
        <v>1</v>
      </c>
      <c r="E80" s="12"/>
      <c r="F80" s="11" t="s">
        <v>2</v>
      </c>
      <c r="G80" s="12"/>
      <c r="H80" s="11" t="s">
        <v>3</v>
      </c>
      <c r="I80" s="12"/>
      <c r="J80" s="11" t="s">
        <v>4</v>
      </c>
      <c r="K80" s="12"/>
      <c r="L80" s="11" t="s">
        <v>5</v>
      </c>
      <c r="M80" s="12"/>
      <c r="N80" s="11" t="s">
        <v>6</v>
      </c>
      <c r="O80" s="12"/>
      <c r="P80" s="11" t="s">
        <v>7</v>
      </c>
      <c r="Q80" s="12"/>
      <c r="R80" s="11" t="s">
        <v>8</v>
      </c>
      <c r="S80" s="12"/>
      <c r="T80" s="11" t="s">
        <v>9</v>
      </c>
      <c r="U80" s="12"/>
    </row>
    <row r="81" spans="1:22" x14ac:dyDescent="0.35">
      <c r="B81" s="1">
        <v>0.60000000000000009</v>
      </c>
      <c r="C81" s="1">
        <v>0.5</v>
      </c>
      <c r="D81" s="1">
        <v>-0.39999999999999991</v>
      </c>
      <c r="E81" s="1">
        <v>-0.5</v>
      </c>
      <c r="F81" s="1">
        <v>-1.4</v>
      </c>
      <c r="G81" s="1">
        <v>-1.5</v>
      </c>
      <c r="H81" s="1">
        <v>0.70000000000000007</v>
      </c>
      <c r="I81" s="1">
        <v>0.6</v>
      </c>
      <c r="J81" s="1">
        <v>-1.5</v>
      </c>
      <c r="K81" s="1">
        <v>-1.6</v>
      </c>
      <c r="L81" s="1">
        <v>0.85</v>
      </c>
      <c r="M81" s="1">
        <v>0</v>
      </c>
      <c r="N81" s="1">
        <v>-0.15</v>
      </c>
      <c r="O81" s="1">
        <v>-1</v>
      </c>
      <c r="P81" s="1">
        <v>-1.1499999999999999</v>
      </c>
      <c r="Q81" s="1">
        <v>-2</v>
      </c>
      <c r="R81" s="1">
        <v>0.95</v>
      </c>
      <c r="S81" s="1">
        <v>0.1</v>
      </c>
      <c r="T81" s="1">
        <v>-1.25</v>
      </c>
      <c r="U81" s="1">
        <v>-2.1</v>
      </c>
      <c r="V81" s="1"/>
    </row>
    <row r="82" spans="1:22" x14ac:dyDescent="0.35">
      <c r="B82" s="1">
        <v>0.8</v>
      </c>
      <c r="C82" s="1">
        <v>0.6</v>
      </c>
      <c r="D82" s="1">
        <v>-0.2</v>
      </c>
      <c r="E82" s="1">
        <v>-0.4</v>
      </c>
      <c r="F82" s="1">
        <v>-1.2</v>
      </c>
      <c r="G82" s="1">
        <v>-1.4</v>
      </c>
      <c r="H82" s="1">
        <v>0.9</v>
      </c>
      <c r="I82" s="1">
        <v>0.7</v>
      </c>
      <c r="J82" s="1">
        <v>-1.3</v>
      </c>
      <c r="K82" s="1">
        <v>-1.5</v>
      </c>
      <c r="L82" s="1">
        <v>0.86</v>
      </c>
      <c r="M82" s="1">
        <v>1.05</v>
      </c>
      <c r="N82" s="1">
        <v>-0.14000000000000001</v>
      </c>
      <c r="O82" s="1">
        <v>5.0000000000000037E-2</v>
      </c>
      <c r="P82" s="1">
        <v>-1.1399999999999999</v>
      </c>
      <c r="Q82" s="1">
        <v>-0.95</v>
      </c>
      <c r="R82" s="1">
        <v>0.96</v>
      </c>
      <c r="S82" s="1">
        <v>1.1499999999999999</v>
      </c>
      <c r="T82" s="1">
        <v>-1.24</v>
      </c>
      <c r="U82" s="1">
        <v>-1.05</v>
      </c>
      <c r="V82" s="1"/>
    </row>
    <row r="83" spans="1:22" x14ac:dyDescent="0.35">
      <c r="B83" s="1">
        <v>1</v>
      </c>
      <c r="C83" s="1">
        <v>0.7</v>
      </c>
      <c r="D83" s="1">
        <v>0</v>
      </c>
      <c r="E83" s="1">
        <v>-0.3</v>
      </c>
      <c r="F83" s="1">
        <v>-1</v>
      </c>
      <c r="G83" s="1">
        <v>-1.3</v>
      </c>
      <c r="H83" s="1">
        <v>1.1000000000000001</v>
      </c>
      <c r="I83" s="1">
        <v>0.79999999999999993</v>
      </c>
      <c r="J83" s="1">
        <v>-1.1000000000000001</v>
      </c>
      <c r="K83" s="1">
        <v>-1.4</v>
      </c>
      <c r="L83" s="1">
        <v>0.87</v>
      </c>
      <c r="M83" s="1">
        <v>1.06</v>
      </c>
      <c r="N83" s="1">
        <v>-0.13</v>
      </c>
      <c r="O83" s="1">
        <v>6.0000000000000053E-2</v>
      </c>
      <c r="P83" s="1">
        <v>-1.1299999999999999</v>
      </c>
      <c r="Q83" s="1">
        <v>-0.94</v>
      </c>
      <c r="R83" s="1">
        <v>0.97</v>
      </c>
      <c r="S83" s="1">
        <v>1.1599999999999999</v>
      </c>
      <c r="T83" s="1">
        <v>-1.23</v>
      </c>
      <c r="U83" s="1">
        <v>-1.04</v>
      </c>
      <c r="V83" s="1"/>
    </row>
    <row r="84" spans="1:22" x14ac:dyDescent="0.35">
      <c r="B84" s="1">
        <v>1.2</v>
      </c>
      <c r="C84" s="1">
        <v>0.79999999999999993</v>
      </c>
      <c r="D84" s="1">
        <v>0.2</v>
      </c>
      <c r="E84" s="1">
        <v>-0.20000000000000009</v>
      </c>
      <c r="F84" s="1">
        <v>-0.8</v>
      </c>
      <c r="G84" s="1">
        <v>-1.2</v>
      </c>
      <c r="H84" s="1">
        <v>1.3</v>
      </c>
      <c r="I84" s="1">
        <v>0.89999999999999991</v>
      </c>
      <c r="J84" s="1">
        <v>-0.9</v>
      </c>
      <c r="K84" s="1">
        <v>-1.3</v>
      </c>
      <c r="L84" s="1">
        <v>0.88</v>
      </c>
      <c r="M84" s="1">
        <v>1.07</v>
      </c>
      <c r="N84" s="1">
        <v>-0.12</v>
      </c>
      <c r="O84" s="1">
        <v>7.0000000000000062E-2</v>
      </c>
      <c r="P84" s="1">
        <v>-1.1200000000000001</v>
      </c>
      <c r="Q84" s="1">
        <v>-0.92999999999999994</v>
      </c>
      <c r="R84" s="1">
        <v>0.98</v>
      </c>
      <c r="S84" s="1">
        <v>1.17</v>
      </c>
      <c r="T84" s="1">
        <v>-1.22</v>
      </c>
      <c r="U84" s="1">
        <v>-1.03</v>
      </c>
      <c r="V84" s="1"/>
    </row>
    <row r="85" spans="1:22" x14ac:dyDescent="0.35">
      <c r="B85" s="1">
        <v>1.4</v>
      </c>
      <c r="C85" s="1">
        <v>0.89999999999999991</v>
      </c>
      <c r="D85" s="1">
        <v>0.39999999999999991</v>
      </c>
      <c r="E85" s="1">
        <v>-0.1000000000000001</v>
      </c>
      <c r="F85" s="1">
        <v>-0.60000000000000009</v>
      </c>
      <c r="G85" s="1">
        <v>-1.1000000000000001</v>
      </c>
      <c r="H85" s="1">
        <v>1.5</v>
      </c>
      <c r="I85" s="1">
        <v>0.99999999999999989</v>
      </c>
      <c r="J85" s="1">
        <v>-0.70000000000000007</v>
      </c>
      <c r="K85" s="1">
        <v>-1.2</v>
      </c>
      <c r="L85" s="1">
        <v>0.89</v>
      </c>
      <c r="M85" s="1">
        <v>1.08</v>
      </c>
      <c r="N85" s="1">
        <v>-0.11</v>
      </c>
      <c r="O85" s="1">
        <v>8.0000000000000071E-2</v>
      </c>
      <c r="P85" s="1">
        <v>-1.1100000000000001</v>
      </c>
      <c r="Q85" s="1">
        <v>-0.91999999999999993</v>
      </c>
      <c r="R85" s="1">
        <v>0.99</v>
      </c>
      <c r="S85" s="1">
        <v>1.18</v>
      </c>
      <c r="T85" s="1">
        <v>-1.21</v>
      </c>
      <c r="U85" s="1">
        <v>-1.02</v>
      </c>
      <c r="V85" s="1"/>
    </row>
    <row r="86" spans="1:22" x14ac:dyDescent="0.35">
      <c r="B86" s="1">
        <v>1.6</v>
      </c>
      <c r="C86" s="1">
        <v>0.99999999999999989</v>
      </c>
      <c r="D86" s="1">
        <v>0.59999999999999987</v>
      </c>
      <c r="E86" s="1">
        <v>0</v>
      </c>
      <c r="F86" s="1">
        <v>-0.40000000000000008</v>
      </c>
      <c r="G86" s="1">
        <v>-1</v>
      </c>
      <c r="H86" s="1">
        <v>1.7</v>
      </c>
      <c r="I86" s="1">
        <v>1.1000000000000001</v>
      </c>
      <c r="J86" s="1">
        <v>-0.50000000000000011</v>
      </c>
      <c r="K86" s="1">
        <v>-1.1000000000000001</v>
      </c>
      <c r="L86" s="1">
        <v>0.91</v>
      </c>
      <c r="M86" s="1">
        <v>1.0900000000000001</v>
      </c>
      <c r="N86" s="1">
        <v>-8.9999999999999969E-2</v>
      </c>
      <c r="O86" s="1">
        <v>9.000000000000008E-2</v>
      </c>
      <c r="P86" s="1">
        <v>-1.0900000000000001</v>
      </c>
      <c r="Q86" s="1">
        <v>-0.90999999999999992</v>
      </c>
      <c r="R86" s="1">
        <v>1.01</v>
      </c>
      <c r="S86" s="1">
        <v>1.19</v>
      </c>
      <c r="T86" s="1">
        <v>-1.19</v>
      </c>
      <c r="U86" s="1">
        <v>-1.01</v>
      </c>
      <c r="V86" s="1"/>
    </row>
    <row r="87" spans="1:22" x14ac:dyDescent="0.35">
      <c r="B87" s="1">
        <v>1.8</v>
      </c>
      <c r="C87" s="1">
        <v>1.1000000000000001</v>
      </c>
      <c r="D87" s="1">
        <v>0.79999999999999982</v>
      </c>
      <c r="E87" s="1">
        <v>9.9999999999999867E-2</v>
      </c>
      <c r="F87" s="1">
        <v>-0.20000000000000021</v>
      </c>
      <c r="G87" s="1">
        <v>-0.90000000000000013</v>
      </c>
      <c r="H87" s="1">
        <v>1.9</v>
      </c>
      <c r="I87" s="1">
        <v>1.2</v>
      </c>
      <c r="J87" s="1">
        <v>-0.30000000000000021</v>
      </c>
      <c r="K87" s="1">
        <v>-1</v>
      </c>
      <c r="L87" s="1">
        <v>0.92</v>
      </c>
      <c r="M87" s="1">
        <v>1.1100000000000001</v>
      </c>
      <c r="N87" s="1">
        <v>-7.999999999999996E-2</v>
      </c>
      <c r="O87" s="1">
        <v>0.1100000000000001</v>
      </c>
      <c r="P87" s="1">
        <v>-1.08</v>
      </c>
      <c r="Q87" s="1">
        <v>-0.8899999999999999</v>
      </c>
      <c r="R87" s="1">
        <v>1.02</v>
      </c>
      <c r="S87" s="1">
        <v>1.21</v>
      </c>
      <c r="T87" s="1">
        <v>-1.18</v>
      </c>
      <c r="U87" s="1">
        <v>-0.98999999999999988</v>
      </c>
      <c r="V87" s="1"/>
    </row>
    <row r="88" spans="1:22" x14ac:dyDescent="0.35">
      <c r="B88" s="1">
        <v>2</v>
      </c>
      <c r="C88" s="1">
        <v>1.2</v>
      </c>
      <c r="D88" s="1">
        <v>0.99999999999999978</v>
      </c>
      <c r="E88" s="1">
        <v>0.2</v>
      </c>
      <c r="F88" s="1">
        <v>0</v>
      </c>
      <c r="G88" s="1">
        <v>-0.8</v>
      </c>
      <c r="H88" s="1">
        <v>2.1</v>
      </c>
      <c r="I88" s="1">
        <v>1.3</v>
      </c>
      <c r="J88" s="1">
        <v>-0.1</v>
      </c>
      <c r="K88" s="1">
        <v>-0.9</v>
      </c>
      <c r="L88" s="1">
        <v>0.93</v>
      </c>
      <c r="M88" s="1">
        <v>1.1200000000000001</v>
      </c>
      <c r="N88" s="1">
        <v>-6.9999999999999951E-2</v>
      </c>
      <c r="O88" s="1">
        <v>0.12000000000000011</v>
      </c>
      <c r="P88" s="1">
        <v>-1.07</v>
      </c>
      <c r="Q88" s="1">
        <v>-0.87999999999999989</v>
      </c>
      <c r="R88" s="1">
        <v>1.03</v>
      </c>
      <c r="S88" s="1">
        <v>1.22</v>
      </c>
      <c r="T88" s="1">
        <v>-1.17</v>
      </c>
      <c r="U88" s="1">
        <v>-0.97999999999999987</v>
      </c>
      <c r="V88" s="1"/>
    </row>
    <row r="89" spans="1:22" x14ac:dyDescent="0.35">
      <c r="B89" s="1">
        <v>0</v>
      </c>
      <c r="C89" s="1">
        <v>1.3</v>
      </c>
      <c r="D89" s="1">
        <v>-1</v>
      </c>
      <c r="E89" s="1">
        <v>0.3</v>
      </c>
      <c r="F89" s="1">
        <v>-2</v>
      </c>
      <c r="G89" s="1">
        <v>-0.7</v>
      </c>
      <c r="H89" s="1">
        <v>0.1</v>
      </c>
      <c r="I89" s="1">
        <v>1.4</v>
      </c>
      <c r="J89" s="1">
        <v>-2.1</v>
      </c>
      <c r="K89" s="1">
        <v>-0.79999999999999993</v>
      </c>
      <c r="L89" s="1">
        <v>0.94000000000000006</v>
      </c>
      <c r="M89" s="1">
        <v>1.1299999999999999</v>
      </c>
      <c r="N89" s="1">
        <v>-5.9999999999999942E-2</v>
      </c>
      <c r="O89" s="1">
        <v>0.13000000000000009</v>
      </c>
      <c r="P89" s="1">
        <v>-1.06</v>
      </c>
      <c r="Q89" s="1">
        <v>-0.86999999999999988</v>
      </c>
      <c r="R89" s="1">
        <v>1.04</v>
      </c>
      <c r="S89" s="1">
        <v>1.23</v>
      </c>
      <c r="T89" s="1">
        <v>-1.1599999999999999</v>
      </c>
      <c r="U89" s="1">
        <v>-0.96999999999999986</v>
      </c>
      <c r="V89" s="1"/>
    </row>
    <row r="90" spans="1:22" x14ac:dyDescent="0.35">
      <c r="B90" s="1">
        <v>0.2</v>
      </c>
      <c r="C90" s="1">
        <v>1.4</v>
      </c>
      <c r="D90" s="1">
        <v>-0.8</v>
      </c>
      <c r="E90" s="1">
        <v>0.40000000000000008</v>
      </c>
      <c r="F90" s="1">
        <v>-1.8</v>
      </c>
      <c r="G90" s="1">
        <v>-0.59999999999999987</v>
      </c>
      <c r="H90" s="1">
        <v>0.3</v>
      </c>
      <c r="I90" s="1">
        <v>1.5</v>
      </c>
      <c r="J90" s="1">
        <v>-1.9</v>
      </c>
      <c r="K90" s="1">
        <v>-0.69999999999999984</v>
      </c>
      <c r="L90" s="1">
        <v>0.95000000000000007</v>
      </c>
      <c r="M90" s="1">
        <v>1.1399999999999999</v>
      </c>
      <c r="N90" s="1">
        <v>-4.9999999999999933E-2</v>
      </c>
      <c r="O90" s="1">
        <v>0.1400000000000001</v>
      </c>
      <c r="P90" s="1">
        <v>-1.05</v>
      </c>
      <c r="Q90" s="1">
        <v>-0.85999999999999988</v>
      </c>
      <c r="R90" s="1">
        <v>1.05</v>
      </c>
      <c r="S90" s="1">
        <v>1.24</v>
      </c>
      <c r="T90" s="1">
        <v>-1.1499999999999999</v>
      </c>
      <c r="U90" s="1">
        <v>-0.95999999999999985</v>
      </c>
      <c r="V90" s="1"/>
    </row>
    <row r="91" spans="1:22" x14ac:dyDescent="0.35">
      <c r="B91" s="1">
        <v>0.4</v>
      </c>
      <c r="C91" s="1">
        <v>1.5</v>
      </c>
      <c r="D91" s="1">
        <v>-0.6</v>
      </c>
      <c r="E91" s="1">
        <v>0.50000000000000022</v>
      </c>
      <c r="F91" s="1">
        <v>-1.6</v>
      </c>
      <c r="G91" s="1">
        <v>-0.49999999999999978</v>
      </c>
      <c r="H91" s="1">
        <v>0.5</v>
      </c>
      <c r="I91" s="1">
        <v>1.6</v>
      </c>
      <c r="J91" s="1">
        <v>-1.7</v>
      </c>
      <c r="K91" s="1">
        <v>-0.59999999999999976</v>
      </c>
      <c r="L91" s="1">
        <v>2</v>
      </c>
      <c r="M91" s="1">
        <v>1.1499999999999999</v>
      </c>
      <c r="N91" s="1">
        <v>1</v>
      </c>
      <c r="O91" s="1">
        <v>0.15000000000000011</v>
      </c>
      <c r="P91" s="1">
        <v>0</v>
      </c>
      <c r="Q91" s="1">
        <v>-0.84999999999999987</v>
      </c>
      <c r="R91" s="1">
        <v>2.1</v>
      </c>
      <c r="S91" s="1">
        <v>1.25</v>
      </c>
      <c r="T91" s="1">
        <v>-0.1</v>
      </c>
      <c r="U91" s="1">
        <v>-0.94999999999999984</v>
      </c>
      <c r="V91" s="1"/>
    </row>
    <row r="93" spans="1:22" x14ac:dyDescent="0.35">
      <c r="A93" t="s">
        <v>10</v>
      </c>
      <c r="B93" s="1">
        <f t="shared" ref="B93:U93" si="18">AVERAGE(B81:B91)</f>
        <v>1</v>
      </c>
      <c r="C93" s="1">
        <f t="shared" si="18"/>
        <v>1</v>
      </c>
      <c r="D93" s="1">
        <f t="shared" si="18"/>
        <v>0</v>
      </c>
      <c r="E93" s="1">
        <f t="shared" si="18"/>
        <v>0</v>
      </c>
      <c r="F93" s="1">
        <f t="shared" si="18"/>
        <v>-1</v>
      </c>
      <c r="G93" s="1">
        <f t="shared" si="18"/>
        <v>-1</v>
      </c>
      <c r="H93" s="1">
        <f t="shared" si="18"/>
        <v>1.0999999999999999</v>
      </c>
      <c r="I93" s="1">
        <f t="shared" si="18"/>
        <v>1.0999999999999999</v>
      </c>
      <c r="J93" s="1">
        <f t="shared" si="18"/>
        <v>-1.0999999999999999</v>
      </c>
      <c r="K93" s="1">
        <f t="shared" si="18"/>
        <v>-1.0999999999999999</v>
      </c>
      <c r="L93" s="1">
        <f t="shared" si="18"/>
        <v>0.99999999999999989</v>
      </c>
      <c r="M93" s="1">
        <f t="shared" si="18"/>
        <v>1.0000000000000002</v>
      </c>
      <c r="N93" s="1">
        <f t="shared" si="18"/>
        <v>0</v>
      </c>
      <c r="O93" s="1">
        <f t="shared" si="18"/>
        <v>7.5697024406260668E-17</v>
      </c>
      <c r="P93" s="1">
        <f t="shared" si="18"/>
        <v>-1.0000000000000002</v>
      </c>
      <c r="Q93" s="1">
        <f t="shared" si="18"/>
        <v>-0.99999999999999989</v>
      </c>
      <c r="R93" s="1">
        <f t="shared" si="18"/>
        <v>1.0999999999999999</v>
      </c>
      <c r="S93" s="1">
        <f t="shared" si="18"/>
        <v>1.0999999999999999</v>
      </c>
      <c r="T93" s="1">
        <f t="shared" si="18"/>
        <v>-1.0999999999999999</v>
      </c>
      <c r="U93" s="1">
        <f t="shared" si="18"/>
        <v>-1.0999999999999999</v>
      </c>
    </row>
    <row r="94" spans="1:22" x14ac:dyDescent="0.35">
      <c r="A94" s="3" t="s">
        <v>11</v>
      </c>
      <c r="B94" s="4">
        <f t="shared" ref="B94:U94" si="19">_xlfn.STDEV.P(B81:B91)</f>
        <v>0.63245553203367566</v>
      </c>
      <c r="C94" s="4">
        <f t="shared" si="19"/>
        <v>0.31622776601683783</v>
      </c>
      <c r="D94" s="4">
        <f t="shared" si="19"/>
        <v>0.63245553203367577</v>
      </c>
      <c r="E94" s="4">
        <f t="shared" si="19"/>
        <v>0.316227766016838</v>
      </c>
      <c r="F94" s="4">
        <f t="shared" si="19"/>
        <v>0.63245553203367588</v>
      </c>
      <c r="G94" s="4">
        <f t="shared" si="19"/>
        <v>0.31622776601683822</v>
      </c>
      <c r="H94" s="4">
        <f t="shared" si="19"/>
        <v>0.63245553203367588</v>
      </c>
      <c r="I94" s="4">
        <f t="shared" si="19"/>
        <v>0.31622776601683783</v>
      </c>
      <c r="J94" s="4">
        <f t="shared" si="19"/>
        <v>0.63245553203367588</v>
      </c>
      <c r="K94" s="4">
        <f t="shared" si="19"/>
        <v>0.31622776601683822</v>
      </c>
      <c r="L94" s="1">
        <f t="shared" si="19"/>
        <v>0.31780497164141469</v>
      </c>
      <c r="M94" s="1">
        <f t="shared" si="19"/>
        <v>0.31780497164141358</v>
      </c>
      <c r="N94" s="1">
        <f t="shared" si="19"/>
        <v>0.31780497164141408</v>
      </c>
      <c r="O94" s="1">
        <f t="shared" si="19"/>
        <v>0.31780497164141402</v>
      </c>
      <c r="P94" s="1">
        <f t="shared" si="19"/>
        <v>0.31780497164141358</v>
      </c>
      <c r="Q94" s="1">
        <f t="shared" si="19"/>
        <v>0.3178049716414143</v>
      </c>
      <c r="R94" s="1">
        <f t="shared" si="19"/>
        <v>0.31780497164141414</v>
      </c>
      <c r="S94" s="1">
        <f t="shared" si="19"/>
        <v>0.31780497164141414</v>
      </c>
      <c r="T94" s="1">
        <f t="shared" si="19"/>
        <v>0.31780497164141414</v>
      </c>
      <c r="U94" s="1">
        <f t="shared" si="19"/>
        <v>0.31780497164141375</v>
      </c>
    </row>
    <row r="95" spans="1:22" x14ac:dyDescent="0.35">
      <c r="A95" t="s">
        <v>12</v>
      </c>
      <c r="B95" s="1">
        <f t="shared" ref="B95:U95" si="20">_xlfn.SKEW.P(B81:B91)</f>
        <v>0</v>
      </c>
      <c r="C95" s="1">
        <f t="shared" si="20"/>
        <v>-2.0185873175002846E-16</v>
      </c>
      <c r="D95" s="1">
        <f t="shared" si="20"/>
        <v>-3.2297397080004555E-16</v>
      </c>
      <c r="E95" s="1">
        <f t="shared" si="20"/>
        <v>5.2483270255007403E-16</v>
      </c>
      <c r="F95" s="1">
        <f t="shared" si="20"/>
        <v>-3.5325278056254979E-16</v>
      </c>
      <c r="G95" s="1">
        <f t="shared" si="20"/>
        <v>8.4780667335011958E-16</v>
      </c>
      <c r="H95" s="1">
        <f t="shared" si="20"/>
        <v>6.6613381477509392E-16</v>
      </c>
      <c r="I95" s="1">
        <f t="shared" si="20"/>
        <v>1.170780644150165E-15</v>
      </c>
      <c r="J95" s="1">
        <f t="shared" si="20"/>
        <v>-7.9734199041261241E-16</v>
      </c>
      <c r="K95" s="1">
        <f t="shared" si="20"/>
        <v>-5.2483270255007403E-16</v>
      </c>
      <c r="L95" s="4">
        <f t="shared" si="20"/>
        <v>2.7945403348921536</v>
      </c>
      <c r="M95" s="4">
        <f t="shared" si="20"/>
        <v>-2.794540334892154</v>
      </c>
      <c r="N95" s="4">
        <f t="shared" si="20"/>
        <v>2.7945403348921518</v>
      </c>
      <c r="O95" s="4">
        <f t="shared" si="20"/>
        <v>-2.7945403348921536</v>
      </c>
      <c r="P95" s="4">
        <f t="shared" si="20"/>
        <v>2.7945403348921536</v>
      </c>
      <c r="Q95" s="4">
        <f t="shared" si="20"/>
        <v>-2.7945403348921536</v>
      </c>
      <c r="R95" s="4">
        <f t="shared" si="20"/>
        <v>2.7945403348921536</v>
      </c>
      <c r="S95" s="4">
        <f t="shared" si="20"/>
        <v>-2.7945403348921518</v>
      </c>
      <c r="T95" s="4">
        <f t="shared" si="20"/>
        <v>2.7945403348921505</v>
      </c>
      <c r="U95" s="4">
        <f t="shared" si="20"/>
        <v>-2.794540334892154</v>
      </c>
    </row>
    <row r="96" spans="1:22" x14ac:dyDescent="0.35">
      <c r="A96" t="s">
        <v>13</v>
      </c>
      <c r="B96" s="1">
        <f t="shared" ref="B96:U96" si="21">KURT(B81:B91)</f>
        <v>-1.2000000000000011</v>
      </c>
      <c r="C96" s="1">
        <f t="shared" si="21"/>
        <v>-1.200000000000002</v>
      </c>
      <c r="D96" s="1">
        <f t="shared" si="21"/>
        <v>-1.2000000000000011</v>
      </c>
      <c r="E96" s="1">
        <f t="shared" si="21"/>
        <v>-1.1999999999999997</v>
      </c>
      <c r="F96" s="1">
        <f t="shared" si="21"/>
        <v>-1.2000000000000002</v>
      </c>
      <c r="G96" s="1">
        <f t="shared" si="21"/>
        <v>-1.1999999999999997</v>
      </c>
      <c r="H96" s="1">
        <f t="shared" si="21"/>
        <v>-1.2000000000000002</v>
      </c>
      <c r="I96" s="1">
        <f t="shared" si="21"/>
        <v>-1.2000000000000011</v>
      </c>
      <c r="J96" s="1">
        <f t="shared" si="21"/>
        <v>-1.2000000000000011</v>
      </c>
      <c r="K96" s="1">
        <f t="shared" si="21"/>
        <v>-1.2000000000000011</v>
      </c>
      <c r="L96" s="1">
        <f t="shared" si="21"/>
        <v>10.711250530993702</v>
      </c>
      <c r="M96" s="1">
        <f t="shared" si="21"/>
        <v>10.711250530993706</v>
      </c>
      <c r="N96" s="1">
        <f t="shared" si="21"/>
        <v>10.711250530993684</v>
      </c>
      <c r="O96" s="1">
        <f t="shared" si="21"/>
        <v>10.711250530993706</v>
      </c>
      <c r="P96" s="1">
        <f t="shared" si="21"/>
        <v>10.711250530993702</v>
      </c>
      <c r="Q96" s="1">
        <f t="shared" si="21"/>
        <v>10.711250530993706</v>
      </c>
      <c r="R96" s="1">
        <f t="shared" si="21"/>
        <v>10.711250530993702</v>
      </c>
      <c r="S96" s="1">
        <f t="shared" si="21"/>
        <v>10.711250530993695</v>
      </c>
      <c r="T96" s="1">
        <f t="shared" si="21"/>
        <v>10.711250530993684</v>
      </c>
      <c r="U96" s="1">
        <f t="shared" si="21"/>
        <v>10.711250530993706</v>
      </c>
    </row>
    <row r="97" spans="1:21" x14ac:dyDescent="0.35">
      <c r="A97" t="s">
        <v>14</v>
      </c>
      <c r="B97" s="1">
        <f t="shared" ref="B97:U97" si="22">MIN(B81:B91)</f>
        <v>0</v>
      </c>
      <c r="C97" s="1">
        <f t="shared" si="22"/>
        <v>0.5</v>
      </c>
      <c r="D97" s="1">
        <f t="shared" si="22"/>
        <v>-1</v>
      </c>
      <c r="E97" s="1">
        <f t="shared" si="22"/>
        <v>-0.5</v>
      </c>
      <c r="F97" s="1">
        <f t="shared" si="22"/>
        <v>-2</v>
      </c>
      <c r="G97" s="1">
        <f t="shared" si="22"/>
        <v>-1.5</v>
      </c>
      <c r="H97" s="1">
        <f t="shared" si="22"/>
        <v>0.1</v>
      </c>
      <c r="I97" s="1">
        <f t="shared" si="22"/>
        <v>0.6</v>
      </c>
      <c r="J97" s="1">
        <f t="shared" si="22"/>
        <v>-2.1</v>
      </c>
      <c r="K97" s="1">
        <f t="shared" si="22"/>
        <v>-1.6</v>
      </c>
      <c r="L97" s="1">
        <f t="shared" si="22"/>
        <v>0.85</v>
      </c>
      <c r="M97" s="1">
        <f t="shared" si="22"/>
        <v>0</v>
      </c>
      <c r="N97" s="1">
        <f t="shared" si="22"/>
        <v>-0.15</v>
      </c>
      <c r="O97" s="1">
        <f t="shared" si="22"/>
        <v>-1</v>
      </c>
      <c r="P97" s="1">
        <f t="shared" si="22"/>
        <v>-1.1499999999999999</v>
      </c>
      <c r="Q97" s="1">
        <f t="shared" si="22"/>
        <v>-2</v>
      </c>
      <c r="R97" s="1">
        <f t="shared" si="22"/>
        <v>0.95</v>
      </c>
      <c r="S97" s="1">
        <f t="shared" si="22"/>
        <v>0.1</v>
      </c>
      <c r="T97" s="1">
        <f t="shared" si="22"/>
        <v>-1.25</v>
      </c>
      <c r="U97" s="1">
        <f t="shared" si="22"/>
        <v>-2.1</v>
      </c>
    </row>
    <row r="98" spans="1:21" x14ac:dyDescent="0.35">
      <c r="A98" t="s">
        <v>15</v>
      </c>
      <c r="B98" s="1">
        <f t="shared" ref="B98:U98" si="23">MAX(B81:B91)</f>
        <v>2</v>
      </c>
      <c r="C98" s="1">
        <f t="shared" si="23"/>
        <v>1.5</v>
      </c>
      <c r="D98" s="1">
        <f t="shared" si="23"/>
        <v>0.99999999999999978</v>
      </c>
      <c r="E98" s="1">
        <f t="shared" si="23"/>
        <v>0.50000000000000022</v>
      </c>
      <c r="F98" s="1">
        <f t="shared" si="23"/>
        <v>0</v>
      </c>
      <c r="G98" s="1">
        <f t="shared" si="23"/>
        <v>-0.49999999999999978</v>
      </c>
      <c r="H98" s="1">
        <f t="shared" si="23"/>
        <v>2.1</v>
      </c>
      <c r="I98" s="1">
        <f t="shared" si="23"/>
        <v>1.6</v>
      </c>
      <c r="J98" s="1">
        <f t="shared" si="23"/>
        <v>-0.1</v>
      </c>
      <c r="K98" s="1">
        <f t="shared" si="23"/>
        <v>-0.59999999999999976</v>
      </c>
      <c r="L98" s="1">
        <f t="shared" si="23"/>
        <v>2</v>
      </c>
      <c r="M98" s="1">
        <f t="shared" si="23"/>
        <v>1.1499999999999999</v>
      </c>
      <c r="N98" s="1">
        <f t="shared" si="23"/>
        <v>1</v>
      </c>
      <c r="O98" s="1">
        <f t="shared" si="23"/>
        <v>0.15000000000000011</v>
      </c>
      <c r="P98" s="1">
        <f t="shared" si="23"/>
        <v>0</v>
      </c>
      <c r="Q98" s="1">
        <f t="shared" si="23"/>
        <v>-0.84999999999999987</v>
      </c>
      <c r="R98" s="1">
        <f t="shared" si="23"/>
        <v>2.1</v>
      </c>
      <c r="S98" s="1">
        <f t="shared" si="23"/>
        <v>1.25</v>
      </c>
      <c r="T98" s="1">
        <f t="shared" si="23"/>
        <v>-0.1</v>
      </c>
      <c r="U98" s="1">
        <f t="shared" si="23"/>
        <v>-0.94999999999999984</v>
      </c>
    </row>
    <row r="99" spans="1:21" x14ac:dyDescent="0.35">
      <c r="A99" t="s">
        <v>16</v>
      </c>
      <c r="B99" s="1">
        <f>CORREL(B81:B91,C81:C91)</f>
        <v>-0.20000000000000004</v>
      </c>
      <c r="D99" s="1">
        <f>CORREL(D81:D91,E81:E91)</f>
        <v>-0.20000000000000018</v>
      </c>
      <c r="F99" s="1">
        <f>CORREL(F81:F91,G81:G91)</f>
        <v>-0.20000000000000021</v>
      </c>
      <c r="H99" s="1">
        <f>CORREL(H81:H91,I81:I91)</f>
        <v>-0.19999999999999996</v>
      </c>
      <c r="J99" s="1">
        <f>CORREL(J81:J91,K81:K91)</f>
        <v>-0.20000000000000009</v>
      </c>
      <c r="L99" s="1">
        <f>CORREL(L81:L91,M81:M91)</f>
        <v>0.20513051305130503</v>
      </c>
      <c r="N99" s="1">
        <f>CORREL(N81:N91,O81:O91)</f>
        <v>0.2051305130513052</v>
      </c>
      <c r="P99" s="1">
        <f>CORREL(P81:P91,Q81:Q91)</f>
        <v>0.20513051305130506</v>
      </c>
      <c r="R99" s="1">
        <f>CORREL(R81:R91,S81:S91)</f>
        <v>0.20513051305130522</v>
      </c>
      <c r="T99" s="1">
        <f>CORREL(T81:T91,U81:U91)</f>
        <v>0.20513051305130531</v>
      </c>
    </row>
    <row r="100" spans="1:21" x14ac:dyDescent="0.35">
      <c r="A100" s="3" t="s">
        <v>17</v>
      </c>
      <c r="B100" s="3">
        <f t="array" ref="B100">SUMPRODUCT((B81:B91&gt;C81:C91)*1)</f>
        <v>8</v>
      </c>
      <c r="C100" s="3">
        <f t="array" ref="C100">SUMPRODUCT((B81:B91&lt;C81:C91)*1)</f>
        <v>3</v>
      </c>
      <c r="D100" s="3">
        <f t="array" ref="D100">SUMPRODUCT((D81:D91&gt;E81:E91)*1)</f>
        <v>8</v>
      </c>
      <c r="E100" s="3">
        <f t="array" ref="E100">SUMPRODUCT((D81:D91&lt;E81:E91)*1)</f>
        <v>3</v>
      </c>
      <c r="F100" s="3">
        <f t="array" ref="F100">SUMPRODUCT((F81:F91&gt;G81:G91)*1)</f>
        <v>8</v>
      </c>
      <c r="G100" s="3">
        <f t="array" ref="G100">SUMPRODUCT((F81:F91&lt;G81:G91)*1)</f>
        <v>3</v>
      </c>
      <c r="H100" s="3">
        <f t="array" ref="H100">SUMPRODUCT((H81:H91&gt;I81:I91)*1)</f>
        <v>8</v>
      </c>
      <c r="I100" s="3">
        <f t="array" ref="I100">SUMPRODUCT((H81:H91&lt;I81:I91)*1)</f>
        <v>3</v>
      </c>
      <c r="J100" s="3">
        <f t="array" ref="J100">SUMPRODUCT((J81:J91&gt;K81:K91)*1)</f>
        <v>8</v>
      </c>
      <c r="K100" s="3">
        <f t="array" ref="K100">SUMPRODUCT((J81:J91&lt;K81:K91)*1)</f>
        <v>3</v>
      </c>
      <c r="L100" s="3">
        <f t="array" ref="L100">SUMPRODUCT((L81:L91&gt;M81:M91)*1)</f>
        <v>2</v>
      </c>
      <c r="M100" s="3">
        <f t="array" ref="M100">SUMPRODUCT((L81:L91&lt;M81:M91)*1)</f>
        <v>9</v>
      </c>
      <c r="N100" s="3">
        <f t="array" ref="N100">SUMPRODUCT((N81:N91&gt;O81:O91)*1)</f>
        <v>2</v>
      </c>
      <c r="O100" s="3">
        <f t="array" ref="O100">SUMPRODUCT((N81:N91&lt;O81:O91)*1)</f>
        <v>9</v>
      </c>
      <c r="P100" s="3">
        <f t="array" ref="P100">SUMPRODUCT((P81:P91&gt;Q81:Q91)*1)</f>
        <v>2</v>
      </c>
      <c r="Q100" s="3">
        <f t="array" ref="Q100">SUMPRODUCT((P81:P91&lt;Q81:Q91)*1)</f>
        <v>9</v>
      </c>
      <c r="R100" s="3">
        <f t="array" ref="R100">SUMPRODUCT((R81:R91&gt;S81:S91)*1)</f>
        <v>2</v>
      </c>
      <c r="S100" s="3">
        <f t="array" ref="S100">SUMPRODUCT((R81:R91&lt;S81:S91)*1)</f>
        <v>9</v>
      </c>
      <c r="T100" s="3">
        <f t="array" ref="T100">SUMPRODUCT((T81:T91&gt;U81:U91)*1)</f>
        <v>2</v>
      </c>
      <c r="U100" s="3">
        <f t="array" ref="U100">SUMPRODUCT((T81:T91&lt;U81:U91)*1)</f>
        <v>9</v>
      </c>
    </row>
    <row r="101" spans="1:21" x14ac:dyDescent="0.35">
      <c r="A101" s="5" t="s">
        <v>18</v>
      </c>
      <c r="B101" s="6" t="str">
        <f>IF(B100&gt;C100,"A",IF(C100&gt;B100,"B","Equal"))</f>
        <v>A</v>
      </c>
      <c r="D101" s="6" t="str">
        <f>IF(D100&gt;E100,"A",IF(E100&gt;D100,"B","Equal"))</f>
        <v>A</v>
      </c>
      <c r="F101" s="6" t="str">
        <f>IF(F100&gt;G100,"A",IF(G100&gt;F100,"B","Equal"))</f>
        <v>A</v>
      </c>
      <c r="H101" s="6" t="str">
        <f>IF(H100&gt;I100,"A",IF(I100&gt;H100,"B","Equal"))</f>
        <v>A</v>
      </c>
      <c r="J101" s="6" t="str">
        <f>IF(J100&gt;K100,"A",IF(K100&gt;J100,"B","Equal"))</f>
        <v>A</v>
      </c>
      <c r="L101" s="6" t="str">
        <f>IF(L100&gt;M100,"A",IF(M100&gt;L100,"B","Equal"))</f>
        <v>B</v>
      </c>
      <c r="N101" s="6" t="str">
        <f>IF(N100&gt;O100,"A",IF(O100&gt;N100,"B","Equal"))</f>
        <v>B</v>
      </c>
      <c r="P101" s="6" t="str">
        <f>IF(P100&gt;Q100,"A",IF(Q100&gt;P100,"B","Equal"))</f>
        <v>B</v>
      </c>
      <c r="R101" s="6" t="str">
        <f>IF(R100&gt;S100,"A",IF(S100&gt;R100,"B","Equal"))</f>
        <v>B</v>
      </c>
      <c r="T101" s="6" t="str">
        <f>IF(T100&gt;U100,"A",IF(U100&gt;T100,"B","Equal"))</f>
        <v>B</v>
      </c>
    </row>
    <row r="102" spans="1:21" x14ac:dyDescent="0.35">
      <c r="A102" t="s">
        <v>19</v>
      </c>
      <c r="B102">
        <f>MAX(B100:C100)</f>
        <v>8</v>
      </c>
      <c r="D102">
        <f>MAX(D100:E100)</f>
        <v>8</v>
      </c>
      <c r="F102">
        <f>MAX(F100:G100)</f>
        <v>8</v>
      </c>
      <c r="H102">
        <f>MAX(H100:I100)</f>
        <v>8</v>
      </c>
      <c r="J102">
        <f>MAX(J100:K100)</f>
        <v>8</v>
      </c>
      <c r="L102">
        <f>MAX(L100:M100)</f>
        <v>9</v>
      </c>
      <c r="N102">
        <f>MAX(N100:O100)</f>
        <v>9</v>
      </c>
      <c r="P102">
        <f>MAX(P100:Q100)</f>
        <v>9</v>
      </c>
      <c r="R102">
        <f>MAX(R100:S100)</f>
        <v>9</v>
      </c>
      <c r="T102">
        <f>MAX(T100:U100)</f>
        <v>9</v>
      </c>
    </row>
    <row r="104" spans="1:21" x14ac:dyDescent="0.35">
      <c r="A104" s="8" t="s">
        <v>24</v>
      </c>
    </row>
    <row r="106" spans="1:21" x14ac:dyDescent="0.35">
      <c r="B106" s="8" t="s">
        <v>0</v>
      </c>
      <c r="D106" s="8" t="s">
        <v>1</v>
      </c>
      <c r="F106" s="8" t="s">
        <v>2</v>
      </c>
      <c r="H106" s="8" t="s">
        <v>3</v>
      </c>
      <c r="J106" s="8" t="s">
        <v>4</v>
      </c>
      <c r="L106" s="8" t="s">
        <v>5</v>
      </c>
      <c r="N106" s="8" t="s">
        <v>6</v>
      </c>
      <c r="P106" s="8" t="s">
        <v>7</v>
      </c>
      <c r="R106" s="8" t="s">
        <v>8</v>
      </c>
      <c r="T106" s="8" t="s">
        <v>9</v>
      </c>
    </row>
    <row r="107" spans="1:21" x14ac:dyDescent="0.35">
      <c r="A107" s="9" t="s">
        <v>25</v>
      </c>
      <c r="B107" s="10">
        <v>0.8</v>
      </c>
      <c r="D107" s="10">
        <v>0.8</v>
      </c>
      <c r="F107" s="10">
        <v>0.8</v>
      </c>
      <c r="H107" s="10">
        <v>0.8</v>
      </c>
      <c r="J107" s="10">
        <v>0.8</v>
      </c>
      <c r="L107" s="10">
        <v>0.8</v>
      </c>
      <c r="N107" s="10">
        <v>0.8</v>
      </c>
      <c r="P107" s="10">
        <v>0.8</v>
      </c>
      <c r="R107" s="10">
        <v>0.8</v>
      </c>
      <c r="T107" s="10">
        <v>0.8</v>
      </c>
    </row>
    <row r="108" spans="1:21" x14ac:dyDescent="0.35">
      <c r="A108" s="9" t="s">
        <v>26</v>
      </c>
      <c r="B108" s="10">
        <v>0.6</v>
      </c>
      <c r="D108" s="10">
        <v>0.6</v>
      </c>
      <c r="F108" s="10">
        <v>0.6</v>
      </c>
      <c r="H108" s="10">
        <v>0.6</v>
      </c>
      <c r="J108" s="10">
        <v>0.6</v>
      </c>
      <c r="L108" s="10">
        <v>0.6</v>
      </c>
      <c r="N108" s="10">
        <v>0.6</v>
      </c>
      <c r="P108" s="10">
        <v>0.6</v>
      </c>
      <c r="R108" s="10">
        <v>0.6</v>
      </c>
      <c r="T108" s="10">
        <v>0.6</v>
      </c>
    </row>
    <row r="109" spans="1:21" x14ac:dyDescent="0.35">
      <c r="A109" s="9" t="s">
        <v>27</v>
      </c>
      <c r="B109" s="10">
        <v>1.4</v>
      </c>
      <c r="D109" s="10">
        <v>1.4</v>
      </c>
      <c r="F109" s="10">
        <v>1.4</v>
      </c>
      <c r="H109" s="10">
        <v>1.4</v>
      </c>
      <c r="J109" s="10">
        <v>1.4</v>
      </c>
      <c r="L109" s="10">
        <v>1.4</v>
      </c>
      <c r="N109" s="10">
        <v>1.4</v>
      </c>
      <c r="P109" s="10">
        <v>1.4</v>
      </c>
      <c r="R109" s="10">
        <v>1.4</v>
      </c>
      <c r="T109" s="10">
        <v>1.4</v>
      </c>
    </row>
  </sheetData>
  <mergeCells count="40">
    <mergeCell ref="T28:U28"/>
    <mergeCell ref="N80:O80"/>
    <mergeCell ref="D54:E54"/>
    <mergeCell ref="P54:Q54"/>
    <mergeCell ref="T54:U54"/>
    <mergeCell ref="D2:E2"/>
    <mergeCell ref="F80:G80"/>
    <mergeCell ref="N2:O2"/>
    <mergeCell ref="P2:Q2"/>
    <mergeCell ref="J80:K80"/>
    <mergeCell ref="P80:Q80"/>
    <mergeCell ref="R80:S80"/>
    <mergeCell ref="T80:U80"/>
    <mergeCell ref="F2:G2"/>
    <mergeCell ref="H2:I2"/>
    <mergeCell ref="T2:U2"/>
    <mergeCell ref="J54:K54"/>
    <mergeCell ref="L54:M54"/>
    <mergeCell ref="R54:S54"/>
    <mergeCell ref="N28:O28"/>
    <mergeCell ref="R28:S28"/>
    <mergeCell ref="J28:K28"/>
    <mergeCell ref="D80:E80"/>
    <mergeCell ref="L28:M28"/>
    <mergeCell ref="B2:C2"/>
    <mergeCell ref="B28:C28"/>
    <mergeCell ref="D28:E28"/>
    <mergeCell ref="F28:G28"/>
    <mergeCell ref="P28:Q28"/>
    <mergeCell ref="H28:I28"/>
    <mergeCell ref="H80:I80"/>
    <mergeCell ref="B80:C80"/>
    <mergeCell ref="J2:K2"/>
    <mergeCell ref="R2:S2"/>
    <mergeCell ref="L80:M80"/>
    <mergeCell ref="L2:M2"/>
    <mergeCell ref="B54:C54"/>
    <mergeCell ref="F54:G54"/>
    <mergeCell ref="H54:I54"/>
    <mergeCell ref="N54:O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1"/>
  <sheetViews>
    <sheetView workbookViewId="0">
      <selection activeCell="A2" sqref="A2:K21"/>
    </sheetView>
  </sheetViews>
  <sheetFormatPr defaultRowHeight="14.5" x14ac:dyDescent="0.35"/>
  <sheetData>
    <row r="2" spans="1:11" s="2" customFormat="1" x14ac:dyDescent="0.35">
      <c r="B2" s="11" t="s">
        <v>0</v>
      </c>
      <c r="C2" s="12"/>
      <c r="D2" s="11" t="s">
        <v>1</v>
      </c>
      <c r="E2" s="12"/>
      <c r="F2" s="11" t="s">
        <v>2</v>
      </c>
      <c r="G2" s="12"/>
      <c r="H2" s="11" t="s">
        <v>3</v>
      </c>
      <c r="I2" s="12"/>
      <c r="J2" s="11" t="s">
        <v>4</v>
      </c>
      <c r="K2" s="12"/>
    </row>
    <row r="3" spans="1:11" x14ac:dyDescent="0.35">
      <c r="B3" s="1">
        <v>0</v>
      </c>
      <c r="C3" s="1">
        <v>0.5</v>
      </c>
      <c r="D3" s="1">
        <f t="shared" ref="D3:D13" si="0">B3-1</f>
        <v>-1</v>
      </c>
      <c r="E3" s="1">
        <f t="shared" ref="E3:E13" si="1">C3-1</f>
        <v>-0.5</v>
      </c>
      <c r="F3" s="1">
        <f t="shared" ref="F3:F13" si="2">B3-2</f>
        <v>-2</v>
      </c>
      <c r="G3" s="1">
        <f t="shared" ref="G3:G13" si="3">C3-2</f>
        <v>-1.5</v>
      </c>
      <c r="H3" s="1">
        <f t="shared" ref="H3:H13" si="4">B3+0.1</f>
        <v>0.1</v>
      </c>
      <c r="I3" s="1">
        <f t="shared" ref="I3:I13" si="5">C3+0.1</f>
        <v>0.6</v>
      </c>
      <c r="J3" s="1">
        <f t="shared" ref="J3:J13" si="6">F3-0.1</f>
        <v>-2.1</v>
      </c>
      <c r="K3" s="1">
        <f t="shared" ref="K3:K13" si="7">G3-0.1</f>
        <v>-1.6</v>
      </c>
    </row>
    <row r="4" spans="1:11" x14ac:dyDescent="0.35">
      <c r="B4" s="1">
        <v>0.2</v>
      </c>
      <c r="C4" s="1">
        <v>0.6</v>
      </c>
      <c r="D4" s="1">
        <f t="shared" si="0"/>
        <v>-0.8</v>
      </c>
      <c r="E4" s="1">
        <f t="shared" si="1"/>
        <v>-0.4</v>
      </c>
      <c r="F4" s="1">
        <f t="shared" si="2"/>
        <v>-1.8</v>
      </c>
      <c r="G4" s="1">
        <f t="shared" si="3"/>
        <v>-1.4</v>
      </c>
      <c r="H4" s="1">
        <f t="shared" si="4"/>
        <v>0.30000000000000004</v>
      </c>
      <c r="I4" s="1">
        <f t="shared" si="5"/>
        <v>0.7</v>
      </c>
      <c r="J4" s="1">
        <f t="shared" si="6"/>
        <v>-1.9000000000000001</v>
      </c>
      <c r="K4" s="1">
        <f t="shared" si="7"/>
        <v>-1.5</v>
      </c>
    </row>
    <row r="5" spans="1:11" x14ac:dyDescent="0.35">
      <c r="B5" s="1">
        <v>0.4</v>
      </c>
      <c r="C5" s="1">
        <v>0.7</v>
      </c>
      <c r="D5" s="1">
        <f t="shared" si="0"/>
        <v>-0.6</v>
      </c>
      <c r="E5" s="1">
        <f t="shared" si="1"/>
        <v>-0.30000000000000004</v>
      </c>
      <c r="F5" s="1">
        <f t="shared" si="2"/>
        <v>-1.6</v>
      </c>
      <c r="G5" s="1">
        <f t="shared" si="3"/>
        <v>-1.3</v>
      </c>
      <c r="H5" s="1">
        <f t="shared" si="4"/>
        <v>0.5</v>
      </c>
      <c r="I5" s="1">
        <f t="shared" si="5"/>
        <v>0.79999999999999993</v>
      </c>
      <c r="J5" s="1">
        <f t="shared" si="6"/>
        <v>-1.7000000000000002</v>
      </c>
      <c r="K5" s="1">
        <f t="shared" si="7"/>
        <v>-1.4000000000000001</v>
      </c>
    </row>
    <row r="6" spans="1:11" x14ac:dyDescent="0.35">
      <c r="B6" s="1">
        <v>0.60000000000000009</v>
      </c>
      <c r="C6" s="1">
        <v>0.79999999999999993</v>
      </c>
      <c r="D6" s="1">
        <f t="shared" si="0"/>
        <v>-0.39999999999999991</v>
      </c>
      <c r="E6" s="1">
        <f t="shared" si="1"/>
        <v>-0.20000000000000007</v>
      </c>
      <c r="F6" s="1">
        <f t="shared" si="2"/>
        <v>-1.4</v>
      </c>
      <c r="G6" s="1">
        <f t="shared" si="3"/>
        <v>-1.2000000000000002</v>
      </c>
      <c r="H6" s="1">
        <f t="shared" si="4"/>
        <v>0.70000000000000007</v>
      </c>
      <c r="I6" s="1">
        <f t="shared" si="5"/>
        <v>0.89999999999999991</v>
      </c>
      <c r="J6" s="1">
        <f t="shared" si="6"/>
        <v>-1.5</v>
      </c>
      <c r="K6" s="1">
        <f t="shared" si="7"/>
        <v>-1.3000000000000003</v>
      </c>
    </row>
    <row r="7" spans="1:11" x14ac:dyDescent="0.35">
      <c r="B7" s="1">
        <v>0.8</v>
      </c>
      <c r="C7" s="1">
        <v>0.89999999999999991</v>
      </c>
      <c r="D7" s="1">
        <f t="shared" si="0"/>
        <v>-0.19999999999999996</v>
      </c>
      <c r="E7" s="1">
        <f t="shared" si="1"/>
        <v>-0.10000000000000009</v>
      </c>
      <c r="F7" s="1">
        <f t="shared" si="2"/>
        <v>-1.2</v>
      </c>
      <c r="G7" s="1">
        <f t="shared" si="3"/>
        <v>-1.1000000000000001</v>
      </c>
      <c r="H7" s="1">
        <f t="shared" si="4"/>
        <v>0.9</v>
      </c>
      <c r="I7" s="1">
        <f t="shared" si="5"/>
        <v>0.99999999999999989</v>
      </c>
      <c r="J7" s="1">
        <f t="shared" si="6"/>
        <v>-1.3</v>
      </c>
      <c r="K7" s="1">
        <f t="shared" si="7"/>
        <v>-1.2000000000000002</v>
      </c>
    </row>
    <row r="8" spans="1:11" x14ac:dyDescent="0.35">
      <c r="B8" s="1">
        <v>1</v>
      </c>
      <c r="C8" s="1">
        <v>0.99999999999999989</v>
      </c>
      <c r="D8" s="1">
        <f t="shared" si="0"/>
        <v>0</v>
      </c>
      <c r="E8" s="1">
        <f t="shared" si="1"/>
        <v>0</v>
      </c>
      <c r="F8" s="1">
        <f t="shared" si="2"/>
        <v>-1</v>
      </c>
      <c r="G8" s="1">
        <f t="shared" si="3"/>
        <v>-1</v>
      </c>
      <c r="H8" s="1">
        <f t="shared" si="4"/>
        <v>1.1000000000000001</v>
      </c>
      <c r="I8" s="1">
        <f t="shared" si="5"/>
        <v>1.0999999999999999</v>
      </c>
      <c r="J8" s="1">
        <f t="shared" si="6"/>
        <v>-1.1000000000000001</v>
      </c>
      <c r="K8" s="1">
        <f t="shared" si="7"/>
        <v>-1.1000000000000001</v>
      </c>
    </row>
    <row r="9" spans="1:11" x14ac:dyDescent="0.35">
      <c r="B9" s="1">
        <v>1.2</v>
      </c>
      <c r="C9" s="1">
        <v>1.1000000000000001</v>
      </c>
      <c r="D9" s="1">
        <f t="shared" si="0"/>
        <v>0.19999999999999996</v>
      </c>
      <c r="E9" s="1">
        <f t="shared" si="1"/>
        <v>0.10000000000000009</v>
      </c>
      <c r="F9" s="1">
        <f t="shared" si="2"/>
        <v>-0.8</v>
      </c>
      <c r="G9" s="1">
        <f t="shared" si="3"/>
        <v>-0.89999999999999991</v>
      </c>
      <c r="H9" s="1">
        <f t="shared" si="4"/>
        <v>1.3</v>
      </c>
      <c r="I9" s="1">
        <f t="shared" si="5"/>
        <v>1.2000000000000002</v>
      </c>
      <c r="J9" s="1">
        <f t="shared" si="6"/>
        <v>-0.9</v>
      </c>
      <c r="K9" s="1">
        <f t="shared" si="7"/>
        <v>-0.99999999999999989</v>
      </c>
    </row>
    <row r="10" spans="1:11" x14ac:dyDescent="0.35">
      <c r="B10" s="1">
        <v>1.4</v>
      </c>
      <c r="C10" s="1">
        <v>1.2</v>
      </c>
      <c r="D10" s="1">
        <f t="shared" si="0"/>
        <v>0.39999999999999991</v>
      </c>
      <c r="E10" s="1">
        <f t="shared" si="1"/>
        <v>0.19999999999999996</v>
      </c>
      <c r="F10" s="1">
        <f t="shared" si="2"/>
        <v>-0.60000000000000009</v>
      </c>
      <c r="G10" s="1">
        <f t="shared" si="3"/>
        <v>-0.8</v>
      </c>
      <c r="H10" s="1">
        <f t="shared" si="4"/>
        <v>1.5</v>
      </c>
      <c r="I10" s="1">
        <f t="shared" si="5"/>
        <v>1.3</v>
      </c>
      <c r="J10" s="1">
        <f t="shared" si="6"/>
        <v>-0.70000000000000007</v>
      </c>
      <c r="K10" s="1">
        <f t="shared" si="7"/>
        <v>-0.9</v>
      </c>
    </row>
    <row r="11" spans="1:11" x14ac:dyDescent="0.35">
      <c r="B11" s="1">
        <v>1.6</v>
      </c>
      <c r="C11" s="1">
        <v>1.3</v>
      </c>
      <c r="D11" s="1">
        <f t="shared" si="0"/>
        <v>0.60000000000000009</v>
      </c>
      <c r="E11" s="1">
        <f t="shared" si="1"/>
        <v>0.30000000000000004</v>
      </c>
      <c r="F11" s="1">
        <f t="shared" si="2"/>
        <v>-0.39999999999999991</v>
      </c>
      <c r="G11" s="1">
        <f t="shared" si="3"/>
        <v>-0.7</v>
      </c>
      <c r="H11" s="1">
        <f t="shared" si="4"/>
        <v>1.7000000000000002</v>
      </c>
      <c r="I11" s="1">
        <f t="shared" si="5"/>
        <v>1.4000000000000001</v>
      </c>
      <c r="J11" s="1">
        <f t="shared" si="6"/>
        <v>-0.49999999999999989</v>
      </c>
      <c r="K11" s="1">
        <f t="shared" si="7"/>
        <v>-0.79999999999999993</v>
      </c>
    </row>
    <row r="12" spans="1:11" x14ac:dyDescent="0.35">
      <c r="B12" s="1">
        <v>1.8</v>
      </c>
      <c r="C12" s="1">
        <v>1.4</v>
      </c>
      <c r="D12" s="1">
        <f t="shared" si="0"/>
        <v>0.8</v>
      </c>
      <c r="E12" s="1">
        <f t="shared" si="1"/>
        <v>0.39999999999999991</v>
      </c>
      <c r="F12" s="1">
        <f t="shared" si="2"/>
        <v>-0.19999999999999996</v>
      </c>
      <c r="G12" s="1">
        <f t="shared" si="3"/>
        <v>-0.60000000000000009</v>
      </c>
      <c r="H12" s="1">
        <f t="shared" si="4"/>
        <v>1.9000000000000001</v>
      </c>
      <c r="I12" s="1">
        <f t="shared" si="5"/>
        <v>1.5</v>
      </c>
      <c r="J12" s="1">
        <f t="shared" si="6"/>
        <v>-0.29999999999999993</v>
      </c>
      <c r="K12" s="1">
        <f t="shared" si="7"/>
        <v>-0.70000000000000007</v>
      </c>
    </row>
    <row r="13" spans="1:11" x14ac:dyDescent="0.35">
      <c r="B13" s="1">
        <v>2</v>
      </c>
      <c r="C13" s="1">
        <v>1.5</v>
      </c>
      <c r="D13" s="1">
        <f t="shared" si="0"/>
        <v>1</v>
      </c>
      <c r="E13" s="1">
        <f t="shared" si="1"/>
        <v>0.5</v>
      </c>
      <c r="F13" s="1">
        <f t="shared" si="2"/>
        <v>0</v>
      </c>
      <c r="G13" s="1">
        <f t="shared" si="3"/>
        <v>-0.5</v>
      </c>
      <c r="H13" s="1">
        <f t="shared" si="4"/>
        <v>2.1</v>
      </c>
      <c r="I13" s="1">
        <f t="shared" si="5"/>
        <v>1.6</v>
      </c>
      <c r="J13" s="1">
        <f t="shared" si="6"/>
        <v>-0.1</v>
      </c>
      <c r="K13" s="1">
        <f t="shared" si="7"/>
        <v>-0.6</v>
      </c>
    </row>
    <row r="15" spans="1:11" x14ac:dyDescent="0.35">
      <c r="A15" t="s">
        <v>10</v>
      </c>
      <c r="B15" s="1">
        <f t="shared" ref="B15:K15" si="8">AVERAGE(B3:B13)</f>
        <v>1</v>
      </c>
      <c r="C15" s="1">
        <f t="shared" si="8"/>
        <v>1</v>
      </c>
      <c r="D15" s="1">
        <f t="shared" si="8"/>
        <v>0</v>
      </c>
      <c r="E15" s="1">
        <f t="shared" si="8"/>
        <v>0</v>
      </c>
      <c r="F15" s="1">
        <f t="shared" si="8"/>
        <v>-1</v>
      </c>
      <c r="G15" s="1">
        <f t="shared" si="8"/>
        <v>-1</v>
      </c>
      <c r="H15" s="1">
        <f t="shared" si="8"/>
        <v>1.1000000000000001</v>
      </c>
      <c r="I15" s="1">
        <f t="shared" si="8"/>
        <v>1.0999999999999999</v>
      </c>
      <c r="J15" s="1">
        <f t="shared" si="8"/>
        <v>-1.0999999999999999</v>
      </c>
      <c r="K15" s="1">
        <f t="shared" si="8"/>
        <v>-1.1000000000000001</v>
      </c>
    </row>
    <row r="16" spans="1:11" s="3" customFormat="1" x14ac:dyDescent="0.35">
      <c r="A16" s="3" t="s">
        <v>11</v>
      </c>
      <c r="B16" s="4">
        <f t="shared" ref="B16:K16" si="9">_xlfn.STDEV.P(B3:B13)</f>
        <v>0.63245553203367588</v>
      </c>
      <c r="C16" s="4">
        <f t="shared" si="9"/>
        <v>0.31622776601683783</v>
      </c>
      <c r="D16" s="4">
        <f t="shared" si="9"/>
        <v>0.63245553203367588</v>
      </c>
      <c r="E16" s="4">
        <f t="shared" si="9"/>
        <v>0.31622776601683794</v>
      </c>
      <c r="F16" s="4">
        <f t="shared" si="9"/>
        <v>0.63245553203367566</v>
      </c>
      <c r="G16" s="4">
        <f t="shared" si="9"/>
        <v>0.31622776601683822</v>
      </c>
      <c r="H16" s="4">
        <f t="shared" si="9"/>
        <v>0.63245553203367566</v>
      </c>
      <c r="I16" s="4">
        <f t="shared" si="9"/>
        <v>0.31622776601683822</v>
      </c>
      <c r="J16" s="4">
        <f t="shared" si="9"/>
        <v>0.63245553203367566</v>
      </c>
      <c r="K16" s="4">
        <f t="shared" si="9"/>
        <v>0.31622776601683822</v>
      </c>
    </row>
    <row r="17" spans="1:11" x14ac:dyDescent="0.35">
      <c r="A17" t="s">
        <v>12</v>
      </c>
      <c r="B17" s="1">
        <f t="shared" ref="B17:K17" si="10">_xlfn.SKEW.P(B3:B13)</f>
        <v>0</v>
      </c>
      <c r="C17" s="1">
        <f t="shared" si="10"/>
        <v>-2.0185873175002846E-16</v>
      </c>
      <c r="D17" s="1">
        <f t="shared" si="10"/>
        <v>0</v>
      </c>
      <c r="E17" s="1">
        <f t="shared" si="10"/>
        <v>1.2111523905001707E-16</v>
      </c>
      <c r="F17" s="1">
        <f t="shared" si="10"/>
        <v>0</v>
      </c>
      <c r="G17" s="1">
        <f t="shared" si="10"/>
        <v>-1.2111523905001707E-16</v>
      </c>
      <c r="H17" s="1">
        <f t="shared" si="10"/>
        <v>0</v>
      </c>
      <c r="I17" s="1">
        <f t="shared" si="10"/>
        <v>1.3322676295501878E-15</v>
      </c>
      <c r="J17" s="1">
        <f t="shared" si="10"/>
        <v>-8.8817841970012523E-16</v>
      </c>
      <c r="K17" s="1">
        <f t="shared" si="10"/>
        <v>5.2483270255007403E-16</v>
      </c>
    </row>
    <row r="18" spans="1:11" x14ac:dyDescent="0.35">
      <c r="A18" t="s">
        <v>13</v>
      </c>
      <c r="B18" s="1">
        <f t="shared" ref="B18:K18" si="11">KURT(B3:B13)</f>
        <v>-1.2000000000000015</v>
      </c>
      <c r="C18" s="1">
        <f t="shared" si="11"/>
        <v>-1.200000000000002</v>
      </c>
      <c r="D18" s="1">
        <f t="shared" si="11"/>
        <v>-1.2000000000000015</v>
      </c>
      <c r="E18" s="1">
        <f t="shared" si="11"/>
        <v>-1.200000000000002</v>
      </c>
      <c r="F18" s="1">
        <f t="shared" si="11"/>
        <v>-1.2000000000000011</v>
      </c>
      <c r="G18" s="1">
        <f t="shared" si="11"/>
        <v>-1.200000000000002</v>
      </c>
      <c r="H18" s="1">
        <f t="shared" si="11"/>
        <v>-1.2000000000000011</v>
      </c>
      <c r="I18" s="1">
        <f t="shared" si="11"/>
        <v>-1.2000000000000028</v>
      </c>
      <c r="J18" s="1">
        <f t="shared" si="11"/>
        <v>-1.2000000000000011</v>
      </c>
      <c r="K18" s="1">
        <f t="shared" si="11"/>
        <v>-1.2000000000000011</v>
      </c>
    </row>
    <row r="19" spans="1:11" x14ac:dyDescent="0.35">
      <c r="A19" t="s">
        <v>14</v>
      </c>
      <c r="B19" s="1">
        <f t="shared" ref="B19:K19" si="12">MIN(B3:B13)</f>
        <v>0</v>
      </c>
      <c r="C19" s="1">
        <f t="shared" si="12"/>
        <v>0.5</v>
      </c>
      <c r="D19" s="1">
        <f t="shared" si="12"/>
        <v>-1</v>
      </c>
      <c r="E19" s="1">
        <f t="shared" si="12"/>
        <v>-0.5</v>
      </c>
      <c r="F19" s="1">
        <f t="shared" si="12"/>
        <v>-2</v>
      </c>
      <c r="G19" s="1">
        <f t="shared" si="12"/>
        <v>-1.5</v>
      </c>
      <c r="H19" s="1">
        <f t="shared" si="12"/>
        <v>0.1</v>
      </c>
      <c r="I19" s="1">
        <f t="shared" si="12"/>
        <v>0.6</v>
      </c>
      <c r="J19" s="1">
        <f t="shared" si="12"/>
        <v>-2.1</v>
      </c>
      <c r="K19" s="1">
        <f t="shared" si="12"/>
        <v>-1.6</v>
      </c>
    </row>
    <row r="20" spans="1:11" x14ac:dyDescent="0.35">
      <c r="A20" t="s">
        <v>15</v>
      </c>
      <c r="B20" s="1">
        <f t="shared" ref="B20:K20" si="13">MAX(B3:B13)</f>
        <v>2</v>
      </c>
      <c r="C20" s="1">
        <f t="shared" si="13"/>
        <v>1.5</v>
      </c>
      <c r="D20" s="1">
        <f t="shared" si="13"/>
        <v>1</v>
      </c>
      <c r="E20" s="1">
        <f t="shared" si="13"/>
        <v>0.5</v>
      </c>
      <c r="F20" s="1">
        <f t="shared" si="13"/>
        <v>0</v>
      </c>
      <c r="G20" s="1">
        <f t="shared" si="13"/>
        <v>-0.5</v>
      </c>
      <c r="H20" s="1">
        <f t="shared" si="13"/>
        <v>2.1</v>
      </c>
      <c r="I20" s="1">
        <f t="shared" si="13"/>
        <v>1.6</v>
      </c>
      <c r="J20" s="1">
        <f t="shared" si="13"/>
        <v>-0.1</v>
      </c>
      <c r="K20" s="1">
        <f t="shared" si="13"/>
        <v>-0.6</v>
      </c>
    </row>
    <row r="21" spans="1:11" x14ac:dyDescent="0.35">
      <c r="A21" t="s">
        <v>16</v>
      </c>
      <c r="B21" s="1">
        <f>CORREL(B3:B13,C3:C13)</f>
        <v>1</v>
      </c>
      <c r="D21" s="1">
        <f>CORREL(D3:D13,E3:E13)</f>
        <v>1</v>
      </c>
      <c r="F21" s="1">
        <f>CORREL(F3:F13,G3:G13)</f>
        <v>1</v>
      </c>
      <c r="H21" s="1">
        <f>CORREL(H3:H13,I3:I13)</f>
        <v>0.99999999999999989</v>
      </c>
      <c r="J21" s="1">
        <f>CORREL(J3:J13,K3:K13)</f>
        <v>1</v>
      </c>
    </row>
  </sheetData>
  <mergeCells count="5">
    <mergeCell ref="F2:G2"/>
    <mergeCell ref="B2:C2"/>
    <mergeCell ref="H2:I2"/>
    <mergeCell ref="D2:E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1"/>
  <sheetViews>
    <sheetView workbookViewId="0">
      <selection activeCell="B2" sqref="B2:K21"/>
    </sheetView>
  </sheetViews>
  <sheetFormatPr defaultRowHeight="14.5" x14ac:dyDescent="0.35"/>
  <sheetData>
    <row r="2" spans="1:11" s="2" customFormat="1" x14ac:dyDescent="0.35">
      <c r="B2" s="11" t="s">
        <v>5</v>
      </c>
      <c r="C2" s="12"/>
      <c r="D2" s="11" t="s">
        <v>6</v>
      </c>
      <c r="E2" s="12"/>
      <c r="F2" s="11" t="s">
        <v>7</v>
      </c>
      <c r="G2" s="12"/>
      <c r="H2" s="11" t="s">
        <v>8</v>
      </c>
      <c r="I2" s="12"/>
      <c r="J2" s="11" t="s">
        <v>9</v>
      </c>
      <c r="K2" s="12"/>
    </row>
    <row r="3" spans="1:11" x14ac:dyDescent="0.35">
      <c r="B3" s="1">
        <v>0.85</v>
      </c>
      <c r="C3" s="1">
        <v>1.05</v>
      </c>
      <c r="D3" s="1">
        <f t="shared" ref="D3:D13" si="0">B3-1</f>
        <v>-0.15000000000000002</v>
      </c>
      <c r="E3" s="1">
        <f t="shared" ref="E3:E13" si="1">C3-1</f>
        <v>5.0000000000000044E-2</v>
      </c>
      <c r="F3" s="1">
        <f t="shared" ref="F3:F13" si="2">B3-2</f>
        <v>-1.1499999999999999</v>
      </c>
      <c r="G3" s="1">
        <f t="shared" ref="G3:G13" si="3">C3-2</f>
        <v>-0.95</v>
      </c>
      <c r="H3" s="1">
        <f t="shared" ref="H3:H13" si="4">B3+0.1</f>
        <v>0.95</v>
      </c>
      <c r="I3" s="1">
        <f t="shared" ref="I3:I13" si="5">C3+0.1</f>
        <v>1.1500000000000001</v>
      </c>
      <c r="J3" s="1">
        <f t="shared" ref="J3:J13" si="6">F3-0.1</f>
        <v>-1.25</v>
      </c>
      <c r="K3" s="1">
        <f t="shared" ref="K3:K13" si="7">G3-0.1</f>
        <v>-1.05</v>
      </c>
    </row>
    <row r="4" spans="1:11" x14ac:dyDescent="0.35">
      <c r="B4" s="1">
        <v>0.86</v>
      </c>
      <c r="C4" s="1">
        <v>1.06</v>
      </c>
      <c r="D4" s="1">
        <f t="shared" si="0"/>
        <v>-0.14000000000000001</v>
      </c>
      <c r="E4" s="1">
        <f t="shared" si="1"/>
        <v>6.0000000000000053E-2</v>
      </c>
      <c r="F4" s="1">
        <f t="shared" si="2"/>
        <v>-1.1400000000000001</v>
      </c>
      <c r="G4" s="1">
        <f t="shared" si="3"/>
        <v>-0.94</v>
      </c>
      <c r="H4" s="1">
        <f t="shared" si="4"/>
        <v>0.96</v>
      </c>
      <c r="I4" s="1">
        <f t="shared" si="5"/>
        <v>1.1600000000000001</v>
      </c>
      <c r="J4" s="1">
        <f t="shared" si="6"/>
        <v>-1.2400000000000002</v>
      </c>
      <c r="K4" s="1">
        <f t="shared" si="7"/>
        <v>-1.04</v>
      </c>
    </row>
    <row r="5" spans="1:11" x14ac:dyDescent="0.35">
      <c r="B5" s="1">
        <v>0.87</v>
      </c>
      <c r="C5" s="1">
        <v>1.07</v>
      </c>
      <c r="D5" s="1">
        <f t="shared" si="0"/>
        <v>-0.13</v>
      </c>
      <c r="E5" s="1">
        <f t="shared" si="1"/>
        <v>7.0000000000000062E-2</v>
      </c>
      <c r="F5" s="1">
        <f t="shared" si="2"/>
        <v>-1.1299999999999999</v>
      </c>
      <c r="G5" s="1">
        <f t="shared" si="3"/>
        <v>-0.92999999999999994</v>
      </c>
      <c r="H5" s="1">
        <f t="shared" si="4"/>
        <v>0.97</v>
      </c>
      <c r="I5" s="1">
        <f t="shared" si="5"/>
        <v>1.1700000000000002</v>
      </c>
      <c r="J5" s="1">
        <f t="shared" si="6"/>
        <v>-1.23</v>
      </c>
      <c r="K5" s="1">
        <f t="shared" si="7"/>
        <v>-1.03</v>
      </c>
    </row>
    <row r="6" spans="1:11" x14ac:dyDescent="0.35">
      <c r="B6" s="1">
        <v>0.88</v>
      </c>
      <c r="C6" s="1">
        <v>1.08</v>
      </c>
      <c r="D6" s="1">
        <f t="shared" si="0"/>
        <v>-0.12</v>
      </c>
      <c r="E6" s="1">
        <f t="shared" si="1"/>
        <v>8.0000000000000071E-2</v>
      </c>
      <c r="F6" s="1">
        <f t="shared" si="2"/>
        <v>-1.1200000000000001</v>
      </c>
      <c r="G6" s="1">
        <f t="shared" si="3"/>
        <v>-0.91999999999999993</v>
      </c>
      <c r="H6" s="1">
        <f t="shared" si="4"/>
        <v>0.98</v>
      </c>
      <c r="I6" s="1">
        <f t="shared" si="5"/>
        <v>1.1800000000000002</v>
      </c>
      <c r="J6" s="1">
        <f t="shared" si="6"/>
        <v>-1.2200000000000002</v>
      </c>
      <c r="K6" s="1">
        <f t="shared" si="7"/>
        <v>-1.02</v>
      </c>
    </row>
    <row r="7" spans="1:11" x14ac:dyDescent="0.35">
      <c r="B7" s="1">
        <v>0.89</v>
      </c>
      <c r="C7" s="1">
        <v>1.0900000000000001</v>
      </c>
      <c r="D7" s="1">
        <f t="shared" si="0"/>
        <v>-0.10999999999999999</v>
      </c>
      <c r="E7" s="1">
        <f t="shared" si="1"/>
        <v>9.000000000000008E-2</v>
      </c>
      <c r="F7" s="1">
        <f t="shared" si="2"/>
        <v>-1.1099999999999999</v>
      </c>
      <c r="G7" s="1">
        <f t="shared" si="3"/>
        <v>-0.90999999999999992</v>
      </c>
      <c r="H7" s="1">
        <f t="shared" si="4"/>
        <v>0.99</v>
      </c>
      <c r="I7" s="1">
        <f t="shared" si="5"/>
        <v>1.1900000000000002</v>
      </c>
      <c r="J7" s="1">
        <f t="shared" si="6"/>
        <v>-1.21</v>
      </c>
      <c r="K7" s="1">
        <f t="shared" si="7"/>
        <v>-1.01</v>
      </c>
    </row>
    <row r="8" spans="1:11" x14ac:dyDescent="0.35">
      <c r="B8" s="1">
        <v>0.91</v>
      </c>
      <c r="C8" s="1">
        <v>1.1100000000000001</v>
      </c>
      <c r="D8" s="1">
        <f t="shared" si="0"/>
        <v>-8.9999999999999969E-2</v>
      </c>
      <c r="E8" s="1">
        <f t="shared" si="1"/>
        <v>0.1100000000000001</v>
      </c>
      <c r="F8" s="1">
        <f t="shared" si="2"/>
        <v>-1.0899999999999999</v>
      </c>
      <c r="G8" s="1">
        <f t="shared" si="3"/>
        <v>-0.8899999999999999</v>
      </c>
      <c r="H8" s="1">
        <f t="shared" si="4"/>
        <v>1.01</v>
      </c>
      <c r="I8" s="1">
        <f t="shared" si="5"/>
        <v>1.2100000000000002</v>
      </c>
      <c r="J8" s="1">
        <f t="shared" si="6"/>
        <v>-1.19</v>
      </c>
      <c r="K8" s="1">
        <f t="shared" si="7"/>
        <v>-0.98999999999999988</v>
      </c>
    </row>
    <row r="9" spans="1:11" x14ac:dyDescent="0.35">
      <c r="B9" s="1">
        <v>0.92</v>
      </c>
      <c r="C9" s="1">
        <v>1.1200000000000001</v>
      </c>
      <c r="D9" s="1">
        <f t="shared" si="0"/>
        <v>-7.999999999999996E-2</v>
      </c>
      <c r="E9" s="1">
        <f t="shared" si="1"/>
        <v>0.12000000000000011</v>
      </c>
      <c r="F9" s="1">
        <f t="shared" si="2"/>
        <v>-1.08</v>
      </c>
      <c r="G9" s="1">
        <f t="shared" si="3"/>
        <v>-0.87999999999999989</v>
      </c>
      <c r="H9" s="1">
        <f t="shared" si="4"/>
        <v>1.02</v>
      </c>
      <c r="I9" s="1">
        <f t="shared" si="5"/>
        <v>1.2200000000000002</v>
      </c>
      <c r="J9" s="1">
        <f t="shared" si="6"/>
        <v>-1.1800000000000002</v>
      </c>
      <c r="K9" s="1">
        <f t="shared" si="7"/>
        <v>-0.97999999999999987</v>
      </c>
    </row>
    <row r="10" spans="1:11" x14ac:dyDescent="0.35">
      <c r="B10" s="1">
        <v>0.93</v>
      </c>
      <c r="C10" s="1">
        <v>1.1299999999999999</v>
      </c>
      <c r="D10" s="1">
        <f t="shared" si="0"/>
        <v>-6.9999999999999951E-2</v>
      </c>
      <c r="E10" s="1">
        <f t="shared" si="1"/>
        <v>0.12999999999999989</v>
      </c>
      <c r="F10" s="1">
        <f t="shared" si="2"/>
        <v>-1.0699999999999998</v>
      </c>
      <c r="G10" s="1">
        <f t="shared" si="3"/>
        <v>-0.87000000000000011</v>
      </c>
      <c r="H10" s="1">
        <f t="shared" si="4"/>
        <v>1.03</v>
      </c>
      <c r="I10" s="1">
        <f t="shared" si="5"/>
        <v>1.23</v>
      </c>
      <c r="J10" s="1">
        <f t="shared" si="6"/>
        <v>-1.17</v>
      </c>
      <c r="K10" s="1">
        <f t="shared" si="7"/>
        <v>-0.97000000000000008</v>
      </c>
    </row>
    <row r="11" spans="1:11" x14ac:dyDescent="0.35">
      <c r="B11" s="1">
        <v>0.94000000000000006</v>
      </c>
      <c r="C11" s="1">
        <v>1.1399999999999999</v>
      </c>
      <c r="D11" s="1">
        <f t="shared" si="0"/>
        <v>-5.9999999999999942E-2</v>
      </c>
      <c r="E11" s="1">
        <f t="shared" si="1"/>
        <v>0.1399999999999999</v>
      </c>
      <c r="F11" s="1">
        <f t="shared" si="2"/>
        <v>-1.06</v>
      </c>
      <c r="G11" s="1">
        <f t="shared" si="3"/>
        <v>-0.8600000000000001</v>
      </c>
      <c r="H11" s="1">
        <f t="shared" si="4"/>
        <v>1.04</v>
      </c>
      <c r="I11" s="1">
        <f t="shared" si="5"/>
        <v>1.24</v>
      </c>
      <c r="J11" s="1">
        <f t="shared" si="6"/>
        <v>-1.1600000000000001</v>
      </c>
      <c r="K11" s="1">
        <f t="shared" si="7"/>
        <v>-0.96000000000000008</v>
      </c>
    </row>
    <row r="12" spans="1:11" x14ac:dyDescent="0.35">
      <c r="B12" s="1">
        <v>0.95000000000000007</v>
      </c>
      <c r="C12" s="1">
        <v>1.1499999999999999</v>
      </c>
      <c r="D12" s="1">
        <f t="shared" si="0"/>
        <v>-4.9999999999999933E-2</v>
      </c>
      <c r="E12" s="1">
        <f t="shared" si="1"/>
        <v>0.14999999999999991</v>
      </c>
      <c r="F12" s="1">
        <f t="shared" si="2"/>
        <v>-1.0499999999999998</v>
      </c>
      <c r="G12" s="1">
        <f t="shared" si="3"/>
        <v>-0.85000000000000009</v>
      </c>
      <c r="H12" s="1">
        <f t="shared" si="4"/>
        <v>1.05</v>
      </c>
      <c r="I12" s="1">
        <f t="shared" si="5"/>
        <v>1.25</v>
      </c>
      <c r="J12" s="1">
        <f t="shared" si="6"/>
        <v>-1.1499999999999999</v>
      </c>
      <c r="K12" s="1">
        <f t="shared" si="7"/>
        <v>-0.95000000000000007</v>
      </c>
    </row>
    <row r="13" spans="1:11" x14ac:dyDescent="0.35">
      <c r="B13" s="1">
        <v>2</v>
      </c>
      <c r="C13" s="1">
        <v>0</v>
      </c>
      <c r="D13" s="1">
        <f t="shared" si="0"/>
        <v>1</v>
      </c>
      <c r="E13" s="1">
        <f t="shared" si="1"/>
        <v>-1</v>
      </c>
      <c r="F13" s="1">
        <f t="shared" si="2"/>
        <v>0</v>
      </c>
      <c r="G13" s="1">
        <f t="shared" si="3"/>
        <v>-2</v>
      </c>
      <c r="H13" s="1">
        <f t="shared" si="4"/>
        <v>2.1</v>
      </c>
      <c r="I13" s="1">
        <f t="shared" si="5"/>
        <v>0.1</v>
      </c>
      <c r="J13" s="1">
        <f t="shared" si="6"/>
        <v>-0.1</v>
      </c>
      <c r="K13" s="1">
        <f t="shared" si="7"/>
        <v>-2.1</v>
      </c>
    </row>
    <row r="15" spans="1:11" x14ac:dyDescent="0.35">
      <c r="A15" t="s">
        <v>10</v>
      </c>
      <c r="B15" s="1">
        <f t="shared" ref="B15:K15" si="8">AVERAGE(B3:B13)</f>
        <v>0.99999999999999989</v>
      </c>
      <c r="C15" s="1">
        <f t="shared" si="8"/>
        <v>1.0000000000000002</v>
      </c>
      <c r="D15" s="1">
        <f t="shared" si="8"/>
        <v>0</v>
      </c>
      <c r="E15" s="1">
        <f t="shared" si="8"/>
        <v>0</v>
      </c>
      <c r="F15" s="1">
        <f t="shared" si="8"/>
        <v>-1</v>
      </c>
      <c r="G15" s="1">
        <f t="shared" si="8"/>
        <v>-0.99999999999999989</v>
      </c>
      <c r="H15" s="1">
        <f t="shared" si="8"/>
        <v>1.0999999999999999</v>
      </c>
      <c r="I15" s="1">
        <f t="shared" si="8"/>
        <v>1.1000000000000001</v>
      </c>
      <c r="J15" s="1">
        <f t="shared" si="8"/>
        <v>-1.0999999999999999</v>
      </c>
      <c r="K15" s="1">
        <f t="shared" si="8"/>
        <v>-1.0999999999999999</v>
      </c>
    </row>
    <row r="16" spans="1:11" x14ac:dyDescent="0.35">
      <c r="A16" t="s">
        <v>11</v>
      </c>
      <c r="B16" s="1">
        <f t="shared" ref="B16:K16" si="9">_xlfn.STDEV.P(B3:B13)</f>
        <v>0.31780497164141469</v>
      </c>
      <c r="C16" s="1">
        <f t="shared" si="9"/>
        <v>0.31780497164141358</v>
      </c>
      <c r="D16" s="1">
        <f t="shared" si="9"/>
        <v>0.31780497164141408</v>
      </c>
      <c r="E16" s="1">
        <f t="shared" si="9"/>
        <v>0.31780497164141408</v>
      </c>
      <c r="F16" s="1">
        <f t="shared" si="9"/>
        <v>0.31780497164141375</v>
      </c>
      <c r="G16" s="1">
        <f t="shared" si="9"/>
        <v>0.31780497164141469</v>
      </c>
      <c r="H16" s="1">
        <f t="shared" si="9"/>
        <v>0.31780497164141414</v>
      </c>
      <c r="I16" s="1">
        <f t="shared" si="9"/>
        <v>0.31780497164141375</v>
      </c>
      <c r="J16" s="1">
        <f t="shared" si="9"/>
        <v>0.31780497164141414</v>
      </c>
      <c r="K16" s="1">
        <f t="shared" si="9"/>
        <v>0.31780497164141414</v>
      </c>
    </row>
    <row r="17" spans="1:11" s="3" customFormat="1" x14ac:dyDescent="0.35">
      <c r="A17" s="3" t="s">
        <v>12</v>
      </c>
      <c r="B17" s="4">
        <f t="shared" ref="B17:K17" si="10">_xlfn.SKEW.P(B3:B13)</f>
        <v>2.7945403348921536</v>
      </c>
      <c r="C17" s="4">
        <f t="shared" si="10"/>
        <v>-2.7945403348921536</v>
      </c>
      <c r="D17" s="4">
        <f t="shared" si="10"/>
        <v>2.7945403348921518</v>
      </c>
      <c r="E17" s="4">
        <f t="shared" si="10"/>
        <v>-2.7945403348921518</v>
      </c>
      <c r="F17" s="4">
        <f t="shared" si="10"/>
        <v>2.7945403348921518</v>
      </c>
      <c r="G17" s="4">
        <f t="shared" si="10"/>
        <v>-2.7945403348921536</v>
      </c>
      <c r="H17" s="4">
        <f t="shared" si="10"/>
        <v>2.7945403348921536</v>
      </c>
      <c r="I17" s="4">
        <f t="shared" si="10"/>
        <v>-2.7945403348921518</v>
      </c>
      <c r="J17" s="4">
        <f t="shared" si="10"/>
        <v>2.7945403348921505</v>
      </c>
      <c r="K17" s="4">
        <f t="shared" si="10"/>
        <v>-2.7945403348921536</v>
      </c>
    </row>
    <row r="18" spans="1:11" x14ac:dyDescent="0.35">
      <c r="A18" t="s">
        <v>13</v>
      </c>
      <c r="B18" s="1">
        <f t="shared" ref="B18:K18" si="11">KURT(B3:B13)</f>
        <v>10.711250530993702</v>
      </c>
      <c r="C18" s="1">
        <f t="shared" si="11"/>
        <v>10.711250530993702</v>
      </c>
      <c r="D18" s="1">
        <f t="shared" si="11"/>
        <v>10.711250530993684</v>
      </c>
      <c r="E18" s="1">
        <f t="shared" si="11"/>
        <v>10.711250530993684</v>
      </c>
      <c r="F18" s="1">
        <f t="shared" si="11"/>
        <v>10.711250530993684</v>
      </c>
      <c r="G18" s="1">
        <f t="shared" si="11"/>
        <v>10.711250530993702</v>
      </c>
      <c r="H18" s="1">
        <f t="shared" si="11"/>
        <v>10.711250530993702</v>
      </c>
      <c r="I18" s="1">
        <f t="shared" si="11"/>
        <v>10.711250530993684</v>
      </c>
      <c r="J18" s="1">
        <f t="shared" si="11"/>
        <v>10.711250530993684</v>
      </c>
      <c r="K18" s="1">
        <f t="shared" si="11"/>
        <v>10.711250530993702</v>
      </c>
    </row>
    <row r="19" spans="1:11" x14ac:dyDescent="0.35">
      <c r="A19" t="s">
        <v>14</v>
      </c>
      <c r="B19" s="1">
        <f t="shared" ref="B19:K19" si="12">MIN(B3:B13)</f>
        <v>0.85</v>
      </c>
      <c r="C19" s="1">
        <f t="shared" si="12"/>
        <v>0</v>
      </c>
      <c r="D19" s="1">
        <f t="shared" si="12"/>
        <v>-0.15000000000000002</v>
      </c>
      <c r="E19" s="1">
        <f t="shared" si="12"/>
        <v>-1</v>
      </c>
      <c r="F19" s="1">
        <f t="shared" si="12"/>
        <v>-1.1499999999999999</v>
      </c>
      <c r="G19" s="1">
        <f t="shared" si="12"/>
        <v>-2</v>
      </c>
      <c r="H19" s="1">
        <f t="shared" si="12"/>
        <v>0.95</v>
      </c>
      <c r="I19" s="1">
        <f t="shared" si="12"/>
        <v>0.1</v>
      </c>
      <c r="J19" s="1">
        <f t="shared" si="12"/>
        <v>-1.25</v>
      </c>
      <c r="K19" s="1">
        <f t="shared" si="12"/>
        <v>-2.1</v>
      </c>
    </row>
    <row r="20" spans="1:11" x14ac:dyDescent="0.35">
      <c r="A20" t="s">
        <v>15</v>
      </c>
      <c r="B20" s="1">
        <f t="shared" ref="B20:K20" si="13">MAX(B3:B13)</f>
        <v>2</v>
      </c>
      <c r="C20" s="1">
        <f t="shared" si="13"/>
        <v>1.1499999999999999</v>
      </c>
      <c r="D20" s="1">
        <f t="shared" si="13"/>
        <v>1</v>
      </c>
      <c r="E20" s="1">
        <f t="shared" si="13"/>
        <v>0.14999999999999991</v>
      </c>
      <c r="F20" s="1">
        <f t="shared" si="13"/>
        <v>0</v>
      </c>
      <c r="G20" s="1">
        <f t="shared" si="13"/>
        <v>-0.85000000000000009</v>
      </c>
      <c r="H20" s="1">
        <f t="shared" si="13"/>
        <v>2.1</v>
      </c>
      <c r="I20" s="1">
        <f t="shared" si="13"/>
        <v>1.25</v>
      </c>
      <c r="J20" s="1">
        <f t="shared" si="13"/>
        <v>-0.1</v>
      </c>
      <c r="K20" s="1">
        <f t="shared" si="13"/>
        <v>-0.95000000000000007</v>
      </c>
    </row>
    <row r="21" spans="1:11" x14ac:dyDescent="0.35">
      <c r="A21" t="s">
        <v>16</v>
      </c>
      <c r="B21" s="1">
        <f>CORREL(B3:B13,C3:C13)</f>
        <v>-0.98019801980198018</v>
      </c>
      <c r="D21" s="1">
        <f>CORREL(D3:D13,E3:E13)</f>
        <v>-0.98019801980198007</v>
      </c>
      <c r="F21" s="1">
        <f>CORREL(F3:F13,G3:G13)</f>
        <v>-0.98019801980198018</v>
      </c>
      <c r="H21" s="1">
        <f>CORREL(H3:H13,I3:I13)</f>
        <v>-0.98019801980198029</v>
      </c>
      <c r="J21" s="1">
        <f>CORREL(J3:J13,K3:K13)</f>
        <v>-0.98019801980198007</v>
      </c>
    </row>
  </sheetData>
  <mergeCells count="5">
    <mergeCell ref="F2:G2"/>
    <mergeCell ref="B2:C2"/>
    <mergeCell ref="H2:I2"/>
    <mergeCell ref="D2:E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Volatility</vt:lpstr>
      <vt:lpstr>Skewness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Ungeheuer</dc:creator>
  <cp:lastModifiedBy>Salin Samuel</cp:lastModifiedBy>
  <dcterms:created xsi:type="dcterms:W3CDTF">2026-07-09T15:42:59Z</dcterms:created>
  <dcterms:modified xsi:type="dcterms:W3CDTF">2026-07-22T13:05:59Z</dcterms:modified>
</cp:coreProperties>
</file>