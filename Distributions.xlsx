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altofi-my.sharepoint.com/personal/samuel_salin_aalto_fi/Documents/Desktop/Risk Elicitation/RE/"/>
    </mc:Choice>
  </mc:AlternateContent>
  <xr:revisionPtr revIDLastSave="9" documentId="13_ncr:1_{DD1F81C6-6287-4B82-9EFA-0A3A914576E9}" xr6:coauthVersionLast="47" xr6:coauthVersionMax="47" xr10:uidLastSave="{76F5C4A9-B5EB-4EC8-B7F1-DCDBCFA616C1}"/>
  <bookViews>
    <workbookView xWindow="-4965" yWindow="-21720" windowWidth="38640" windowHeight="21120" xr2:uid="{609E4B8F-B91C-401D-B3BD-10B7A23FA221}"/>
  </bookViews>
  <sheets>
    <sheet name="All" sheetId="4" r:id="rId1"/>
    <sheet name="Volatility" sheetId="3" r:id="rId2"/>
    <sheet name="Skewnes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4" i="4" l="1"/>
  <c r="R24" i="4"/>
  <c r="P24" i="4"/>
  <c r="N24" i="4"/>
  <c r="L24" i="4"/>
  <c r="J24" i="4"/>
  <c r="H24" i="4"/>
  <c r="F24" i="4"/>
  <c r="D24" i="4"/>
  <c r="B24" i="4"/>
  <c r="M27" i="4" a="1"/>
  <c r="M27" i="4" s="1"/>
  <c r="M39" i="4" s="1"/>
  <c r="L27" i="4" a="1"/>
  <c r="L27" i="4" s="1"/>
  <c r="C27" i="4" a="1"/>
  <c r="C27" i="4" s="1"/>
  <c r="C43" i="4" s="1"/>
  <c r="B27" i="4" a="1"/>
  <c r="B27" i="4" s="1"/>
  <c r="M22" i="4" a="1"/>
  <c r="M22" i="4" s="1"/>
  <c r="L22" i="4" a="1"/>
  <c r="L22" i="4" s="1"/>
  <c r="C22" i="4" a="1"/>
  <c r="C22" i="4" s="1"/>
  <c r="B22" i="4" a="1"/>
  <c r="B22" i="4" s="1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S13" i="4"/>
  <c r="R13" i="4"/>
  <c r="Q13" i="4"/>
  <c r="U13" i="4" s="1"/>
  <c r="P13" i="4"/>
  <c r="T13" i="4" s="1"/>
  <c r="O13" i="4"/>
  <c r="N13" i="4"/>
  <c r="S12" i="4"/>
  <c r="R12" i="4"/>
  <c r="Q12" i="4"/>
  <c r="U12" i="4" s="1"/>
  <c r="P12" i="4"/>
  <c r="T12" i="4" s="1"/>
  <c r="O12" i="4"/>
  <c r="N12" i="4"/>
  <c r="S11" i="4"/>
  <c r="R11" i="4"/>
  <c r="Q11" i="4"/>
  <c r="U11" i="4" s="1"/>
  <c r="P11" i="4"/>
  <c r="T11" i="4" s="1"/>
  <c r="O11" i="4"/>
  <c r="N11" i="4"/>
  <c r="S10" i="4"/>
  <c r="R10" i="4"/>
  <c r="Q10" i="4"/>
  <c r="U10" i="4" s="1"/>
  <c r="P10" i="4"/>
  <c r="T10" i="4" s="1"/>
  <c r="O10" i="4"/>
  <c r="N10" i="4"/>
  <c r="S9" i="4"/>
  <c r="R9" i="4"/>
  <c r="Q9" i="4"/>
  <c r="U9" i="4" s="1"/>
  <c r="P9" i="4"/>
  <c r="T9" i="4" s="1"/>
  <c r="O9" i="4"/>
  <c r="N9" i="4"/>
  <c r="S8" i="4"/>
  <c r="R8" i="4"/>
  <c r="Q8" i="4"/>
  <c r="U8" i="4" s="1"/>
  <c r="P8" i="4"/>
  <c r="T8" i="4" s="1"/>
  <c r="O8" i="4"/>
  <c r="N8" i="4"/>
  <c r="S7" i="4"/>
  <c r="R7" i="4"/>
  <c r="Q7" i="4"/>
  <c r="U7" i="4" s="1"/>
  <c r="P7" i="4"/>
  <c r="T7" i="4" s="1"/>
  <c r="O7" i="4"/>
  <c r="N7" i="4"/>
  <c r="S6" i="4"/>
  <c r="R6" i="4"/>
  <c r="Q6" i="4"/>
  <c r="U6" i="4" s="1"/>
  <c r="P6" i="4"/>
  <c r="T6" i="4" s="1"/>
  <c r="O6" i="4"/>
  <c r="N6" i="4"/>
  <c r="S5" i="4"/>
  <c r="R5" i="4"/>
  <c r="Q5" i="4"/>
  <c r="U5" i="4" s="1"/>
  <c r="P5" i="4"/>
  <c r="T5" i="4" s="1"/>
  <c r="O5" i="4"/>
  <c r="N5" i="4"/>
  <c r="S4" i="4"/>
  <c r="R4" i="4"/>
  <c r="Q4" i="4"/>
  <c r="U4" i="4" s="1"/>
  <c r="P4" i="4"/>
  <c r="T4" i="4" s="1"/>
  <c r="O4" i="4"/>
  <c r="N4" i="4"/>
  <c r="S3" i="4"/>
  <c r="R3" i="4"/>
  <c r="Q3" i="4"/>
  <c r="P3" i="4"/>
  <c r="O3" i="4"/>
  <c r="N3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I13" i="4"/>
  <c r="H13" i="4"/>
  <c r="G13" i="4"/>
  <c r="K13" i="4" s="1"/>
  <c r="F13" i="4"/>
  <c r="J13" i="4" s="1"/>
  <c r="E13" i="4"/>
  <c r="D13" i="4"/>
  <c r="I12" i="4"/>
  <c r="H12" i="4"/>
  <c r="G12" i="4"/>
  <c r="K12" i="4" s="1"/>
  <c r="F12" i="4"/>
  <c r="J12" i="4" s="1"/>
  <c r="E12" i="4"/>
  <c r="D12" i="4"/>
  <c r="I11" i="4"/>
  <c r="H11" i="4"/>
  <c r="G11" i="4"/>
  <c r="K11" i="4" s="1"/>
  <c r="F11" i="4"/>
  <c r="J11" i="4" s="1"/>
  <c r="E11" i="4"/>
  <c r="D11" i="4"/>
  <c r="I10" i="4"/>
  <c r="H10" i="4"/>
  <c r="G10" i="4"/>
  <c r="K10" i="4" s="1"/>
  <c r="F10" i="4"/>
  <c r="J10" i="4" s="1"/>
  <c r="E10" i="4"/>
  <c r="D10" i="4"/>
  <c r="D27" i="4" s="1" a="1"/>
  <c r="D27" i="4" s="1"/>
  <c r="D43" i="4" s="1"/>
  <c r="I9" i="4"/>
  <c r="H9" i="4"/>
  <c r="G9" i="4"/>
  <c r="K9" i="4" s="1"/>
  <c r="F9" i="4"/>
  <c r="J9" i="4" s="1"/>
  <c r="E9" i="4"/>
  <c r="D9" i="4"/>
  <c r="I8" i="4"/>
  <c r="H8" i="4"/>
  <c r="G8" i="4"/>
  <c r="K8" i="4" s="1"/>
  <c r="F8" i="4"/>
  <c r="J8" i="4" s="1"/>
  <c r="E8" i="4"/>
  <c r="D8" i="4"/>
  <c r="I7" i="4"/>
  <c r="H7" i="4"/>
  <c r="G7" i="4"/>
  <c r="K7" i="4" s="1"/>
  <c r="F7" i="4"/>
  <c r="J7" i="4" s="1"/>
  <c r="E7" i="4"/>
  <c r="D7" i="4"/>
  <c r="I6" i="4"/>
  <c r="H6" i="4"/>
  <c r="G6" i="4"/>
  <c r="K6" i="4" s="1"/>
  <c r="F6" i="4"/>
  <c r="J6" i="4" s="1"/>
  <c r="E6" i="4"/>
  <c r="D6" i="4"/>
  <c r="J5" i="4"/>
  <c r="I5" i="4"/>
  <c r="H5" i="4"/>
  <c r="G5" i="4"/>
  <c r="K5" i="4" s="1"/>
  <c r="F5" i="4"/>
  <c r="E5" i="4"/>
  <c r="D5" i="4"/>
  <c r="I4" i="4"/>
  <c r="H4" i="4"/>
  <c r="G4" i="4"/>
  <c r="K4" i="4" s="1"/>
  <c r="F4" i="4"/>
  <c r="J4" i="4" s="1"/>
  <c r="E4" i="4"/>
  <c r="D4" i="4"/>
  <c r="J3" i="4"/>
  <c r="I3" i="4"/>
  <c r="H3" i="4"/>
  <c r="G3" i="4"/>
  <c r="K3" i="4" s="1"/>
  <c r="F3" i="4"/>
  <c r="E3" i="4"/>
  <c r="D3" i="4"/>
  <c r="J21" i="1"/>
  <c r="H21" i="1"/>
  <c r="F21" i="1"/>
  <c r="D21" i="1"/>
  <c r="B21" i="1"/>
  <c r="J21" i="3"/>
  <c r="H21" i="3"/>
  <c r="F21" i="3"/>
  <c r="D21" i="3"/>
  <c r="B21" i="3"/>
  <c r="I13" i="1"/>
  <c r="H13" i="1"/>
  <c r="G13" i="1"/>
  <c r="K13" i="1" s="1"/>
  <c r="F13" i="1"/>
  <c r="J13" i="1" s="1"/>
  <c r="E13" i="1"/>
  <c r="D13" i="1"/>
  <c r="I12" i="1"/>
  <c r="H12" i="1"/>
  <c r="G12" i="1"/>
  <c r="K12" i="1" s="1"/>
  <c r="F12" i="1"/>
  <c r="J12" i="1" s="1"/>
  <c r="E12" i="1"/>
  <c r="D12" i="1"/>
  <c r="I11" i="1"/>
  <c r="H11" i="1"/>
  <c r="G11" i="1"/>
  <c r="K11" i="1" s="1"/>
  <c r="F11" i="1"/>
  <c r="J11" i="1" s="1"/>
  <c r="E11" i="1"/>
  <c r="D11" i="1"/>
  <c r="K10" i="1"/>
  <c r="J10" i="1"/>
  <c r="I10" i="1"/>
  <c r="H10" i="1"/>
  <c r="G10" i="1"/>
  <c r="F10" i="1"/>
  <c r="E10" i="1"/>
  <c r="D10" i="1"/>
  <c r="I9" i="1"/>
  <c r="H9" i="1"/>
  <c r="G9" i="1"/>
  <c r="K9" i="1" s="1"/>
  <c r="F9" i="1"/>
  <c r="J9" i="1" s="1"/>
  <c r="E9" i="1"/>
  <c r="D9" i="1"/>
  <c r="K8" i="1"/>
  <c r="J8" i="1"/>
  <c r="I8" i="1"/>
  <c r="H8" i="1"/>
  <c r="G8" i="1"/>
  <c r="F8" i="1"/>
  <c r="E8" i="1"/>
  <c r="D8" i="1"/>
  <c r="I7" i="1"/>
  <c r="H7" i="1"/>
  <c r="G7" i="1"/>
  <c r="K7" i="1" s="1"/>
  <c r="F7" i="1"/>
  <c r="J7" i="1" s="1"/>
  <c r="E7" i="1"/>
  <c r="D7" i="1"/>
  <c r="I6" i="1"/>
  <c r="H6" i="1"/>
  <c r="G6" i="1"/>
  <c r="K6" i="1" s="1"/>
  <c r="F6" i="1"/>
  <c r="J6" i="1" s="1"/>
  <c r="E6" i="1"/>
  <c r="D6" i="1"/>
  <c r="I5" i="1"/>
  <c r="H5" i="1"/>
  <c r="G5" i="1"/>
  <c r="K5" i="1" s="1"/>
  <c r="F5" i="1"/>
  <c r="J5" i="1" s="1"/>
  <c r="E5" i="1"/>
  <c r="D5" i="1"/>
  <c r="I4" i="1"/>
  <c r="H4" i="1"/>
  <c r="G4" i="1"/>
  <c r="G20" i="1" s="1"/>
  <c r="F4" i="1"/>
  <c r="F20" i="1" s="1"/>
  <c r="E4" i="1"/>
  <c r="E20" i="1" s="1"/>
  <c r="D4" i="1"/>
  <c r="D15" i="1" s="1"/>
  <c r="K3" i="1"/>
  <c r="J3" i="1"/>
  <c r="I3" i="1"/>
  <c r="H3" i="1"/>
  <c r="G3" i="1"/>
  <c r="F3" i="1"/>
  <c r="E3" i="1"/>
  <c r="D3" i="1"/>
  <c r="J4" i="3"/>
  <c r="K5" i="3"/>
  <c r="K6" i="3"/>
  <c r="K8" i="3"/>
  <c r="K9" i="3"/>
  <c r="K3" i="3"/>
  <c r="J3" i="3"/>
  <c r="I13" i="3"/>
  <c r="I12" i="3"/>
  <c r="I11" i="3"/>
  <c r="I10" i="3"/>
  <c r="I9" i="3"/>
  <c r="I8" i="3"/>
  <c r="I7" i="3"/>
  <c r="I6" i="3"/>
  <c r="I5" i="3"/>
  <c r="I4" i="3"/>
  <c r="I3" i="3"/>
  <c r="H4" i="3"/>
  <c r="H5" i="3"/>
  <c r="H6" i="3"/>
  <c r="H7" i="3"/>
  <c r="H8" i="3"/>
  <c r="H9" i="3"/>
  <c r="H10" i="3"/>
  <c r="H11" i="3"/>
  <c r="H12" i="3"/>
  <c r="H13" i="3"/>
  <c r="H3" i="3"/>
  <c r="C20" i="1"/>
  <c r="B20" i="1"/>
  <c r="C19" i="1"/>
  <c r="B19" i="1"/>
  <c r="C20" i="3"/>
  <c r="C19" i="3"/>
  <c r="B20" i="3"/>
  <c r="B19" i="3"/>
  <c r="B18" i="3"/>
  <c r="G13" i="3"/>
  <c r="K13" i="3" s="1"/>
  <c r="G12" i="3"/>
  <c r="K12" i="3" s="1"/>
  <c r="G11" i="3"/>
  <c r="K11" i="3" s="1"/>
  <c r="G10" i="3"/>
  <c r="K10" i="3" s="1"/>
  <c r="G9" i="3"/>
  <c r="G8" i="3"/>
  <c r="G7" i="3"/>
  <c r="K7" i="3" s="1"/>
  <c r="G6" i="3"/>
  <c r="G5" i="3"/>
  <c r="G4" i="3"/>
  <c r="K4" i="3" s="1"/>
  <c r="G3" i="3"/>
  <c r="F4" i="3"/>
  <c r="F3" i="3"/>
  <c r="E3" i="3"/>
  <c r="D3" i="3"/>
  <c r="C18" i="1"/>
  <c r="C17" i="1"/>
  <c r="C16" i="1"/>
  <c r="C15" i="1"/>
  <c r="B18" i="1"/>
  <c r="B17" i="1"/>
  <c r="B16" i="1"/>
  <c r="B15" i="1"/>
  <c r="C41" i="4" l="1"/>
  <c r="B43" i="4"/>
  <c r="B45" i="4"/>
  <c r="C46" i="4" a="1"/>
  <c r="C46" i="4" s="1"/>
  <c r="B40" i="4"/>
  <c r="B46" i="4" a="1"/>
  <c r="B46" i="4" s="1"/>
  <c r="B42" i="4"/>
  <c r="B44" i="4"/>
  <c r="B39" i="4"/>
  <c r="B41" i="4"/>
  <c r="L46" i="4" a="1"/>
  <c r="L46" i="4" s="1"/>
  <c r="L39" i="4"/>
  <c r="L41" i="4"/>
  <c r="L43" i="4"/>
  <c r="L40" i="4"/>
  <c r="L44" i="4"/>
  <c r="L42" i="4"/>
  <c r="L45" i="4"/>
  <c r="M46" i="4" a="1"/>
  <c r="M46" i="4" s="1"/>
  <c r="M44" i="4"/>
  <c r="D41" i="4"/>
  <c r="C39" i="4"/>
  <c r="M42" i="4"/>
  <c r="M43" i="4"/>
  <c r="D39" i="4"/>
  <c r="M40" i="4"/>
  <c r="C44" i="4"/>
  <c r="D44" i="4"/>
  <c r="C42" i="4"/>
  <c r="D42" i="4"/>
  <c r="C40" i="4"/>
  <c r="D40" i="4"/>
  <c r="M41" i="4"/>
  <c r="R27" i="4" a="1"/>
  <c r="R27" i="4" s="1"/>
  <c r="O15" i="4"/>
  <c r="S27" i="4" a="1"/>
  <c r="S27" i="4" s="1"/>
  <c r="H18" i="4"/>
  <c r="H15" i="4"/>
  <c r="N27" i="4" a="1"/>
  <c r="N27" i="4" s="1"/>
  <c r="P22" i="4" a="1"/>
  <c r="P22" i="4" s="1"/>
  <c r="B23" i="4"/>
  <c r="L23" i="4"/>
  <c r="S22" i="4" a="1"/>
  <c r="S22" i="4" s="1"/>
  <c r="I27" i="4" a="1"/>
  <c r="I27" i="4" s="1"/>
  <c r="J27" i="4" a="1"/>
  <c r="J27" i="4" s="1"/>
  <c r="K27" i="4" a="1"/>
  <c r="K27" i="4" s="1"/>
  <c r="E18" i="4"/>
  <c r="J22" i="4" a="1"/>
  <c r="J22" i="4" s="1"/>
  <c r="H27" i="4" a="1"/>
  <c r="H27" i="4" s="1"/>
  <c r="F21" i="4"/>
  <c r="K22" i="4" a="1"/>
  <c r="K22" i="4" s="1"/>
  <c r="G18" i="4"/>
  <c r="N17" i="4"/>
  <c r="I19" i="4"/>
  <c r="Q15" i="4"/>
  <c r="O27" i="4" a="1"/>
  <c r="O27" i="4" s="1"/>
  <c r="D22" i="4" a="1"/>
  <c r="D22" i="4" s="1"/>
  <c r="R22" i="4" a="1"/>
  <c r="R22" i="4" s="1"/>
  <c r="R23" i="4" s="1"/>
  <c r="P27" i="4" a="1"/>
  <c r="P27" i="4" s="1"/>
  <c r="F22" i="4" a="1"/>
  <c r="F22" i="4" s="1"/>
  <c r="D15" i="4"/>
  <c r="Q17" i="4"/>
  <c r="G22" i="4" a="1"/>
  <c r="G22" i="4" s="1"/>
  <c r="E27" i="4" a="1"/>
  <c r="E27" i="4" s="1"/>
  <c r="P18" i="4"/>
  <c r="N22" i="4" a="1"/>
  <c r="N22" i="4" s="1"/>
  <c r="O22" i="4" a="1"/>
  <c r="O22" i="4" s="1"/>
  <c r="R18" i="4"/>
  <c r="S19" i="4"/>
  <c r="Q22" i="4" a="1"/>
  <c r="Q22" i="4" s="1"/>
  <c r="P23" i="4" s="1"/>
  <c r="O17" i="4"/>
  <c r="E22" i="4" a="1"/>
  <c r="E22" i="4" s="1"/>
  <c r="Q27" i="4" a="1"/>
  <c r="Q27" i="4" s="1"/>
  <c r="R17" i="4"/>
  <c r="H22" i="4" a="1"/>
  <c r="H22" i="4" s="1"/>
  <c r="F27" i="4" a="1"/>
  <c r="F27" i="4" s="1"/>
  <c r="D17" i="4"/>
  <c r="E15" i="4"/>
  <c r="S18" i="4"/>
  <c r="I22" i="4" a="1"/>
  <c r="I22" i="4" s="1"/>
  <c r="G27" i="4" a="1"/>
  <c r="G27" i="4" s="1"/>
  <c r="O16" i="4"/>
  <c r="S17" i="4"/>
  <c r="Q20" i="4"/>
  <c r="P16" i="4"/>
  <c r="R20" i="4"/>
  <c r="Q16" i="4"/>
  <c r="S20" i="4"/>
  <c r="T3" i="4"/>
  <c r="N15" i="4"/>
  <c r="Q19" i="4"/>
  <c r="O18" i="4"/>
  <c r="N21" i="4"/>
  <c r="R15" i="4"/>
  <c r="P21" i="4"/>
  <c r="S15" i="4"/>
  <c r="Q18" i="4"/>
  <c r="R21" i="4"/>
  <c r="P17" i="4"/>
  <c r="N20" i="4"/>
  <c r="O20" i="4"/>
  <c r="N16" i="4"/>
  <c r="P20" i="4"/>
  <c r="N19" i="4"/>
  <c r="O19" i="4"/>
  <c r="R16" i="4"/>
  <c r="P19" i="4"/>
  <c r="U3" i="4"/>
  <c r="U27" i="4" s="1" a="1"/>
  <c r="U27" i="4" s="1"/>
  <c r="S16" i="4"/>
  <c r="P15" i="4"/>
  <c r="N18" i="4"/>
  <c r="R19" i="4"/>
  <c r="J21" i="4"/>
  <c r="K19" i="4"/>
  <c r="K15" i="4"/>
  <c r="E17" i="4"/>
  <c r="I18" i="4"/>
  <c r="F17" i="4"/>
  <c r="J18" i="4"/>
  <c r="D20" i="4"/>
  <c r="G17" i="4"/>
  <c r="K18" i="4"/>
  <c r="E20" i="4"/>
  <c r="D16" i="4"/>
  <c r="H17" i="4"/>
  <c r="F20" i="4"/>
  <c r="E16" i="4"/>
  <c r="I17" i="4"/>
  <c r="G20" i="4"/>
  <c r="H16" i="4"/>
  <c r="I16" i="4"/>
  <c r="I15" i="4"/>
  <c r="F16" i="4"/>
  <c r="J17" i="4"/>
  <c r="D19" i="4"/>
  <c r="H20" i="4"/>
  <c r="G16" i="4"/>
  <c r="K17" i="4"/>
  <c r="E19" i="4"/>
  <c r="I20" i="4"/>
  <c r="F19" i="4"/>
  <c r="J20" i="4"/>
  <c r="G19" i="4"/>
  <c r="K20" i="4"/>
  <c r="F15" i="4"/>
  <c r="J16" i="4"/>
  <c r="D18" i="4"/>
  <c r="H19" i="4"/>
  <c r="G15" i="4"/>
  <c r="K16" i="4"/>
  <c r="D21" i="4"/>
  <c r="F18" i="4"/>
  <c r="J19" i="4"/>
  <c r="H21" i="4"/>
  <c r="J15" i="4"/>
  <c r="E18" i="1"/>
  <c r="J4" i="1"/>
  <c r="K4" i="1"/>
  <c r="K17" i="1" s="1"/>
  <c r="J17" i="1"/>
  <c r="D19" i="1"/>
  <c r="D16" i="1"/>
  <c r="E19" i="1"/>
  <c r="G15" i="1"/>
  <c r="F19" i="1"/>
  <c r="G16" i="1"/>
  <c r="G19" i="1"/>
  <c r="G17" i="1"/>
  <c r="G18" i="1"/>
  <c r="D20" i="1"/>
  <c r="D17" i="1"/>
  <c r="D18" i="1"/>
  <c r="E16" i="1"/>
  <c r="H15" i="1"/>
  <c r="E17" i="1"/>
  <c r="I17" i="1"/>
  <c r="I20" i="3"/>
  <c r="H16" i="3"/>
  <c r="H18" i="1"/>
  <c r="I18" i="1"/>
  <c r="J18" i="1"/>
  <c r="I15" i="1"/>
  <c r="K18" i="1"/>
  <c r="H19" i="1"/>
  <c r="I19" i="1"/>
  <c r="H16" i="1"/>
  <c r="J19" i="1"/>
  <c r="I16" i="1"/>
  <c r="H20" i="1"/>
  <c r="H17" i="1"/>
  <c r="I20" i="1"/>
  <c r="J15" i="1"/>
  <c r="J16" i="1"/>
  <c r="K20" i="1"/>
  <c r="K15" i="1"/>
  <c r="J20" i="1"/>
  <c r="K17" i="3"/>
  <c r="K20" i="3"/>
  <c r="I18" i="3"/>
  <c r="I16" i="3"/>
  <c r="I19" i="3"/>
  <c r="I15" i="3"/>
  <c r="I17" i="3"/>
  <c r="H15" i="3"/>
  <c r="H17" i="3"/>
  <c r="H18" i="3"/>
  <c r="H19" i="3"/>
  <c r="H20" i="3"/>
  <c r="K15" i="3"/>
  <c r="K16" i="3"/>
  <c r="K18" i="3"/>
  <c r="K19" i="3"/>
  <c r="G17" i="3"/>
  <c r="G18" i="3"/>
  <c r="G20" i="3"/>
  <c r="G19" i="3"/>
  <c r="G15" i="3"/>
  <c r="G16" i="3"/>
  <c r="F5" i="3"/>
  <c r="J5" i="3" s="1"/>
  <c r="D4" i="3"/>
  <c r="E5" i="3"/>
  <c r="E4" i="3"/>
  <c r="D5" i="3"/>
  <c r="F18" i="1"/>
  <c r="F16" i="1"/>
  <c r="F17" i="1"/>
  <c r="F15" i="1"/>
  <c r="E15" i="1"/>
  <c r="L48" i="4" l="1"/>
  <c r="B48" i="4"/>
  <c r="L47" i="4"/>
  <c r="B47" i="4"/>
  <c r="E40" i="4"/>
  <c r="E44" i="4"/>
  <c r="E39" i="4"/>
  <c r="E42" i="4"/>
  <c r="E41" i="4"/>
  <c r="E43" i="4"/>
  <c r="H45" i="4"/>
  <c r="H42" i="4"/>
  <c r="H44" i="4"/>
  <c r="H39" i="4"/>
  <c r="I46" i="4" a="1"/>
  <c r="I46" i="4" s="1"/>
  <c r="H41" i="4"/>
  <c r="H46" i="4" a="1"/>
  <c r="H46" i="4" s="1"/>
  <c r="H43" i="4"/>
  <c r="H40" i="4"/>
  <c r="U40" i="4"/>
  <c r="U42" i="4"/>
  <c r="U39" i="4"/>
  <c r="U41" i="4"/>
  <c r="U44" i="4"/>
  <c r="U43" i="4"/>
  <c r="S40" i="4"/>
  <c r="S42" i="4"/>
  <c r="S44" i="4"/>
  <c r="S39" i="4"/>
  <c r="S41" i="4"/>
  <c r="S43" i="4"/>
  <c r="F45" i="4"/>
  <c r="F40" i="4"/>
  <c r="F42" i="4"/>
  <c r="F44" i="4"/>
  <c r="F39" i="4"/>
  <c r="F41" i="4"/>
  <c r="G46" i="4" a="1"/>
  <c r="G46" i="4" s="1"/>
  <c r="F43" i="4"/>
  <c r="F46" i="4" a="1"/>
  <c r="F46" i="4" s="1"/>
  <c r="S46" i="4" a="1"/>
  <c r="S46" i="4" s="1"/>
  <c r="R46" i="4" a="1"/>
  <c r="R46" i="4" s="1"/>
  <c r="R40" i="4"/>
  <c r="R42" i="4"/>
  <c r="R45" i="4"/>
  <c r="R39" i="4"/>
  <c r="R44" i="4"/>
  <c r="R41" i="4"/>
  <c r="R43" i="4"/>
  <c r="K44" i="4"/>
  <c r="K39" i="4"/>
  <c r="K41" i="4"/>
  <c r="K43" i="4"/>
  <c r="K40" i="4"/>
  <c r="K42" i="4"/>
  <c r="E46" i="4" a="1"/>
  <c r="E46" i="4" s="1"/>
  <c r="G40" i="4"/>
  <c r="G42" i="4"/>
  <c r="G39" i="4"/>
  <c r="G44" i="4"/>
  <c r="G41" i="4"/>
  <c r="G43" i="4"/>
  <c r="Q43" i="4"/>
  <c r="Q40" i="4"/>
  <c r="Q42" i="4"/>
  <c r="Q44" i="4"/>
  <c r="Q39" i="4"/>
  <c r="Q41" i="4"/>
  <c r="J45" i="4"/>
  <c r="J44" i="4"/>
  <c r="K46" i="4" a="1"/>
  <c r="K46" i="4" s="1"/>
  <c r="J39" i="4"/>
  <c r="J46" i="4" a="1"/>
  <c r="J46" i="4" s="1"/>
  <c r="J41" i="4"/>
  <c r="J43" i="4"/>
  <c r="J40" i="4"/>
  <c r="J42" i="4"/>
  <c r="D46" i="4" a="1"/>
  <c r="D46" i="4" s="1"/>
  <c r="D45" i="4"/>
  <c r="I42" i="4"/>
  <c r="I44" i="4"/>
  <c r="I39" i="4"/>
  <c r="I41" i="4"/>
  <c r="I43" i="4"/>
  <c r="I40" i="4"/>
  <c r="P43" i="4"/>
  <c r="Q46" i="4" a="1"/>
  <c r="Q46" i="4" s="1"/>
  <c r="P40" i="4"/>
  <c r="P46" i="4" a="1"/>
  <c r="P46" i="4" s="1"/>
  <c r="P42" i="4"/>
  <c r="P44" i="4"/>
  <c r="P41" i="4"/>
  <c r="P45" i="4"/>
  <c r="P39" i="4"/>
  <c r="N41" i="4"/>
  <c r="N43" i="4"/>
  <c r="N40" i="4"/>
  <c r="N42" i="4"/>
  <c r="O46" i="4" a="1"/>
  <c r="O46" i="4" s="1"/>
  <c r="N46" i="4" a="1"/>
  <c r="N46" i="4" s="1"/>
  <c r="N45" i="4"/>
  <c r="N44" i="4"/>
  <c r="N39" i="4"/>
  <c r="O41" i="4"/>
  <c r="O43" i="4"/>
  <c r="O40" i="4"/>
  <c r="O42" i="4"/>
  <c r="O39" i="4"/>
  <c r="O44" i="4"/>
  <c r="D23" i="4"/>
  <c r="N23" i="4"/>
  <c r="J23" i="4"/>
  <c r="T27" i="4" a="1"/>
  <c r="T27" i="4" s="1"/>
  <c r="U22" i="4" a="1"/>
  <c r="U22" i="4" s="1"/>
  <c r="T22" i="4" a="1"/>
  <c r="T22" i="4" s="1"/>
  <c r="T23" i="4" s="1"/>
  <c r="F23" i="4"/>
  <c r="H23" i="4"/>
  <c r="U20" i="4"/>
  <c r="U18" i="4"/>
  <c r="U15" i="4"/>
  <c r="U19" i="4"/>
  <c r="U16" i="4"/>
  <c r="U17" i="4"/>
  <c r="T21" i="4"/>
  <c r="T15" i="4"/>
  <c r="T19" i="4"/>
  <c r="T16" i="4"/>
  <c r="T18" i="4"/>
  <c r="T20" i="4"/>
  <c r="T17" i="4"/>
  <c r="K16" i="1"/>
  <c r="K19" i="1"/>
  <c r="D6" i="3"/>
  <c r="F6" i="3"/>
  <c r="J6" i="3" s="1"/>
  <c r="E6" i="3"/>
  <c r="R48" i="4" l="1"/>
  <c r="F48" i="4"/>
  <c r="P48" i="4"/>
  <c r="N48" i="4"/>
  <c r="J48" i="4"/>
  <c r="H48" i="4"/>
  <c r="D48" i="4"/>
  <c r="F47" i="4"/>
  <c r="R47" i="4"/>
  <c r="J47" i="4"/>
  <c r="H47" i="4"/>
  <c r="T40" i="4"/>
  <c r="T46" i="4" a="1"/>
  <c r="T46" i="4" s="1"/>
  <c r="T42" i="4"/>
  <c r="T44" i="4"/>
  <c r="T39" i="4"/>
  <c r="T45" i="4"/>
  <c r="T41" i="4"/>
  <c r="U46" i="4" a="1"/>
  <c r="U46" i="4" s="1"/>
  <c r="T43" i="4"/>
  <c r="N47" i="4"/>
  <c r="D47" i="4"/>
  <c r="P47" i="4"/>
  <c r="E7" i="3"/>
  <c r="F7" i="3"/>
  <c r="J7" i="3" s="1"/>
  <c r="D7" i="3"/>
  <c r="T48" i="4" l="1"/>
  <c r="T47" i="4"/>
  <c r="E8" i="3"/>
  <c r="F8" i="3"/>
  <c r="J8" i="3" s="1"/>
  <c r="D8" i="3"/>
  <c r="F9" i="3" l="1"/>
  <c r="J9" i="3" s="1"/>
  <c r="D9" i="3"/>
  <c r="E9" i="3"/>
  <c r="D10" i="3" l="1"/>
  <c r="F10" i="3"/>
  <c r="J10" i="3" s="1"/>
  <c r="E10" i="3"/>
  <c r="E11" i="3" l="1"/>
  <c r="F11" i="3"/>
  <c r="J11" i="3" s="1"/>
  <c r="D11" i="3"/>
  <c r="B17" i="3" l="1"/>
  <c r="F12" i="3"/>
  <c r="J12" i="3" s="1"/>
  <c r="D12" i="3"/>
  <c r="B16" i="3"/>
  <c r="E12" i="3"/>
  <c r="C18" i="3"/>
  <c r="E13" i="3" l="1"/>
  <c r="E15" i="3" s="1"/>
  <c r="C17" i="3"/>
  <c r="C16" i="3"/>
  <c r="C15" i="3"/>
  <c r="F13" i="3"/>
  <c r="J13" i="3" s="1"/>
  <c r="D13" i="3"/>
  <c r="B15" i="3"/>
  <c r="J15" i="3" l="1"/>
  <c r="J20" i="3"/>
  <c r="J18" i="3"/>
  <c r="J16" i="3"/>
  <c r="J19" i="3"/>
  <c r="J17" i="3"/>
  <c r="D19" i="3"/>
  <c r="D20" i="3"/>
  <c r="F20" i="3"/>
  <c r="F19" i="3"/>
  <c r="E20" i="3"/>
  <c r="E19" i="3"/>
  <c r="D16" i="3"/>
  <c r="D15" i="3"/>
  <c r="D18" i="3"/>
  <c r="D17" i="3"/>
  <c r="F15" i="3"/>
  <c r="F18" i="3"/>
  <c r="F17" i="3"/>
  <c r="F16" i="3"/>
  <c r="E18" i="3"/>
  <c r="E16" i="3"/>
  <c r="E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<sst xmlns="http://schemas.openxmlformats.org/spreadsheetml/2006/main" count="65" uniqueCount="21">
  <si>
    <t>D6</t>
  </si>
  <si>
    <t>D7</t>
  </si>
  <si>
    <t>Mean</t>
  </si>
  <si>
    <t>Vola</t>
  </si>
  <si>
    <t>Skewness</t>
  </si>
  <si>
    <t>Kurtosis</t>
  </si>
  <si>
    <t>D8</t>
  </si>
  <si>
    <t>D9</t>
  </si>
  <si>
    <t>D10</t>
  </si>
  <si>
    <t>D1</t>
  </si>
  <si>
    <t>D2</t>
  </si>
  <si>
    <t>D3</t>
  </si>
  <si>
    <t>D4</t>
  </si>
  <si>
    <t>D5</t>
  </si>
  <si>
    <t>Min</t>
  </si>
  <si>
    <t>Max</t>
  </si>
  <si>
    <t>Corr</t>
  </si>
  <si>
    <t>F(out)</t>
  </si>
  <si>
    <t>Situation</t>
  </si>
  <si>
    <t>Max F(out)</t>
  </si>
  <si>
    <t>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</si>
</sst>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127F1-FF9E-40AD-BAC8-A5D0CABA3A66}">
  <dimension ref="A2:U48"/>
  <sheetViews>
    <sheetView tabSelected="1" workbookViewId="0">
      <selection activeCell="X30" sqref="X30"/>
    </sheetView>
  </sheetViews>
  <sheetFormatPr defaultRowHeight="14.5" x14ac:dyDescent="0.35"/>
  <cols>
    <col min="1" max="1" width="9.54296875" bestFit="1" customWidth="1"/>
  </cols>
  <sheetData>
    <row r="2" spans="1:21" x14ac:dyDescent="0.35">
      <c r="A2" s="2"/>
      <c r="B2" s="7" t="s">
        <v>9</v>
      </c>
      <c r="C2" s="7"/>
      <c r="D2" s="7" t="s">
        <v>10</v>
      </c>
      <c r="E2" s="7"/>
      <c r="F2" s="7" t="s">
        <v>11</v>
      </c>
      <c r="G2" s="7"/>
      <c r="H2" s="7" t="s">
        <v>12</v>
      </c>
      <c r="I2" s="7"/>
      <c r="J2" s="7" t="s">
        <v>13</v>
      </c>
      <c r="K2" s="7"/>
      <c r="L2" s="7" t="s">
        <v>0</v>
      </c>
      <c r="M2" s="7"/>
      <c r="N2" s="7" t="s">
        <v>1</v>
      </c>
      <c r="O2" s="7"/>
      <c r="P2" s="7" t="s">
        <v>6</v>
      </c>
      <c r="Q2" s="7"/>
      <c r="R2" s="7" t="s">
        <v>7</v>
      </c>
      <c r="S2" s="7"/>
      <c r="T2" s="7" t="s">
        <v>8</v>
      </c>
      <c r="U2" s="7"/>
    </row>
    <row r="3" spans="1:21" x14ac:dyDescent="0.35">
      <c r="B3" s="1">
        <v>0</v>
      </c>
      <c r="C3" s="1">
        <v>0.5</v>
      </c>
      <c r="D3" s="1">
        <f>B3-1</f>
        <v>-1</v>
      </c>
      <c r="E3" s="1">
        <f>C3-1</f>
        <v>-0.5</v>
      </c>
      <c r="F3" s="1">
        <f>B3-2</f>
        <v>-2</v>
      </c>
      <c r="G3" s="1">
        <f>C3-2</f>
        <v>-1.5</v>
      </c>
      <c r="H3" s="1">
        <f>B3+0.1</f>
        <v>0.1</v>
      </c>
      <c r="I3" s="1">
        <f>C3+0.1</f>
        <v>0.6</v>
      </c>
      <c r="J3" s="1">
        <f>F3-0.1</f>
        <v>-2.1</v>
      </c>
      <c r="K3" s="1">
        <f>G3-0.1</f>
        <v>-1.6</v>
      </c>
      <c r="L3" s="1">
        <v>0.85</v>
      </c>
      <c r="M3" s="1">
        <v>1.05</v>
      </c>
      <c r="N3" s="1">
        <f>L3-1</f>
        <v>-0.15000000000000002</v>
      </c>
      <c r="O3" s="1">
        <f>M3-1</f>
        <v>5.0000000000000044E-2</v>
      </c>
      <c r="P3" s="1">
        <f>L3-2</f>
        <v>-1.1499999999999999</v>
      </c>
      <c r="Q3" s="1">
        <f>M3-2</f>
        <v>-0.95</v>
      </c>
      <c r="R3" s="1">
        <f>L3+0.1</f>
        <v>0.95</v>
      </c>
      <c r="S3" s="1">
        <f>M3+0.1</f>
        <v>1.1500000000000001</v>
      </c>
      <c r="T3" s="1">
        <f>P3-0.1</f>
        <v>-1.25</v>
      </c>
      <c r="U3" s="1">
        <f>Q3-0.1</f>
        <v>-1.05</v>
      </c>
    </row>
    <row r="4" spans="1:21" x14ac:dyDescent="0.35">
      <c r="B4" s="1">
        <v>0.2</v>
      </c>
      <c r="C4" s="1">
        <v>0.6</v>
      </c>
      <c r="D4" s="1">
        <f t="shared" ref="D4:E13" si="0">B4-1</f>
        <v>-0.8</v>
      </c>
      <c r="E4" s="1">
        <f t="shared" si="0"/>
        <v>-0.4</v>
      </c>
      <c r="F4" s="1">
        <f t="shared" ref="F4:G13" si="1">B4-2</f>
        <v>-1.8</v>
      </c>
      <c r="G4" s="1">
        <f t="shared" si="1"/>
        <v>-1.4</v>
      </c>
      <c r="H4" s="1">
        <f t="shared" ref="H4:I13" si="2">B4+0.1</f>
        <v>0.30000000000000004</v>
      </c>
      <c r="I4" s="1">
        <f t="shared" si="2"/>
        <v>0.7</v>
      </c>
      <c r="J4" s="1">
        <f t="shared" ref="J4:K13" si="3">F4-0.1</f>
        <v>-1.9000000000000001</v>
      </c>
      <c r="K4" s="1">
        <f t="shared" si="3"/>
        <v>-1.5</v>
      </c>
      <c r="L4" s="1">
        <v>0.86</v>
      </c>
      <c r="M4" s="1">
        <v>1.06</v>
      </c>
      <c r="N4" s="1">
        <f t="shared" ref="N4:O13" si="4">L4-1</f>
        <v>-0.14000000000000001</v>
      </c>
      <c r="O4" s="1">
        <f t="shared" si="4"/>
        <v>6.0000000000000053E-2</v>
      </c>
      <c r="P4" s="1">
        <f t="shared" ref="P4:Q13" si="5">L4-2</f>
        <v>-1.1400000000000001</v>
      </c>
      <c r="Q4" s="1">
        <f t="shared" si="5"/>
        <v>-0.94</v>
      </c>
      <c r="R4" s="1">
        <f t="shared" ref="R4:S13" si="6">L4+0.1</f>
        <v>0.96</v>
      </c>
      <c r="S4" s="1">
        <f t="shared" si="6"/>
        <v>1.1600000000000001</v>
      </c>
      <c r="T4" s="1">
        <f t="shared" ref="T4:U13" si="7">P4-0.1</f>
        <v>-1.2400000000000002</v>
      </c>
      <c r="U4" s="1">
        <f t="shared" si="7"/>
        <v>-1.04</v>
      </c>
    </row>
    <row r="5" spans="1:21" x14ac:dyDescent="0.35">
      <c r="B5" s="1">
        <v>0.4</v>
      </c>
      <c r="C5" s="1">
        <v>0.7</v>
      </c>
      <c r="D5" s="1">
        <f t="shared" si="0"/>
        <v>-0.6</v>
      </c>
      <c r="E5" s="1">
        <f t="shared" si="0"/>
        <v>-0.30000000000000004</v>
      </c>
      <c r="F5" s="1">
        <f t="shared" si="1"/>
        <v>-1.6</v>
      </c>
      <c r="G5" s="1">
        <f t="shared" si="1"/>
        <v>-1.3</v>
      </c>
      <c r="H5" s="1">
        <f t="shared" si="2"/>
        <v>0.5</v>
      </c>
      <c r="I5" s="1">
        <f t="shared" si="2"/>
        <v>0.79999999999999993</v>
      </c>
      <c r="J5" s="1">
        <f t="shared" si="3"/>
        <v>-1.7000000000000002</v>
      </c>
      <c r="K5" s="1">
        <f t="shared" si="3"/>
        <v>-1.4000000000000001</v>
      </c>
      <c r="L5" s="1">
        <v>0.87</v>
      </c>
      <c r="M5" s="1">
        <v>1.07</v>
      </c>
      <c r="N5" s="1">
        <f t="shared" si="4"/>
        <v>-0.13</v>
      </c>
      <c r="O5" s="1">
        <f t="shared" si="4"/>
        <v>7.0000000000000062E-2</v>
      </c>
      <c r="P5" s="1">
        <f t="shared" si="5"/>
        <v>-1.1299999999999999</v>
      </c>
      <c r="Q5" s="1">
        <f t="shared" si="5"/>
        <v>-0.92999999999999994</v>
      </c>
      <c r="R5" s="1">
        <f t="shared" si="6"/>
        <v>0.97</v>
      </c>
      <c r="S5" s="1">
        <f t="shared" si="6"/>
        <v>1.1700000000000002</v>
      </c>
      <c r="T5" s="1">
        <f t="shared" si="7"/>
        <v>-1.23</v>
      </c>
      <c r="U5" s="1">
        <f t="shared" si="7"/>
        <v>-1.03</v>
      </c>
    </row>
    <row r="6" spans="1:21" x14ac:dyDescent="0.35">
      <c r="B6" s="1">
        <v>0.60000000000000009</v>
      </c>
      <c r="C6" s="1">
        <v>0.79999999999999993</v>
      </c>
      <c r="D6" s="1">
        <f t="shared" si="0"/>
        <v>-0.39999999999999991</v>
      </c>
      <c r="E6" s="1">
        <f t="shared" si="0"/>
        <v>-0.20000000000000007</v>
      </c>
      <c r="F6" s="1">
        <f t="shared" si="1"/>
        <v>-1.4</v>
      </c>
      <c r="G6" s="1">
        <f t="shared" si="1"/>
        <v>-1.2000000000000002</v>
      </c>
      <c r="H6" s="1">
        <f t="shared" si="2"/>
        <v>0.70000000000000007</v>
      </c>
      <c r="I6" s="1">
        <f t="shared" si="2"/>
        <v>0.89999999999999991</v>
      </c>
      <c r="J6" s="1">
        <f t="shared" si="3"/>
        <v>-1.5</v>
      </c>
      <c r="K6" s="1">
        <f t="shared" si="3"/>
        <v>-1.3000000000000003</v>
      </c>
      <c r="L6" s="1">
        <v>0.88</v>
      </c>
      <c r="M6" s="1">
        <v>1.08</v>
      </c>
      <c r="N6" s="1">
        <f t="shared" si="4"/>
        <v>-0.12</v>
      </c>
      <c r="O6" s="1">
        <f t="shared" si="4"/>
        <v>8.0000000000000071E-2</v>
      </c>
      <c r="P6" s="1">
        <f t="shared" si="5"/>
        <v>-1.1200000000000001</v>
      </c>
      <c r="Q6" s="1">
        <f t="shared" si="5"/>
        <v>-0.91999999999999993</v>
      </c>
      <c r="R6" s="1">
        <f t="shared" si="6"/>
        <v>0.98</v>
      </c>
      <c r="S6" s="1">
        <f t="shared" si="6"/>
        <v>1.1800000000000002</v>
      </c>
      <c r="T6" s="1">
        <f t="shared" si="7"/>
        <v>-1.2200000000000002</v>
      </c>
      <c r="U6" s="1">
        <f t="shared" si="7"/>
        <v>-1.02</v>
      </c>
    </row>
    <row r="7" spans="1:21" x14ac:dyDescent="0.35">
      <c r="B7" s="1">
        <v>0.8</v>
      </c>
      <c r="C7" s="1">
        <v>0.89999999999999991</v>
      </c>
      <c r="D7" s="1">
        <f t="shared" si="0"/>
        <v>-0.19999999999999996</v>
      </c>
      <c r="E7" s="1">
        <f t="shared" si="0"/>
        <v>-0.10000000000000009</v>
      </c>
      <c r="F7" s="1">
        <f t="shared" si="1"/>
        <v>-1.2</v>
      </c>
      <c r="G7" s="1">
        <f t="shared" si="1"/>
        <v>-1.1000000000000001</v>
      </c>
      <c r="H7" s="1">
        <f t="shared" si="2"/>
        <v>0.9</v>
      </c>
      <c r="I7" s="1">
        <f t="shared" si="2"/>
        <v>0.99999999999999989</v>
      </c>
      <c r="J7" s="1">
        <f t="shared" si="3"/>
        <v>-1.3</v>
      </c>
      <c r="K7" s="1">
        <f t="shared" si="3"/>
        <v>-1.2000000000000002</v>
      </c>
      <c r="L7" s="1">
        <v>0.89</v>
      </c>
      <c r="M7" s="1">
        <v>1.0900000000000001</v>
      </c>
      <c r="N7" s="1">
        <f t="shared" si="4"/>
        <v>-0.10999999999999999</v>
      </c>
      <c r="O7" s="1">
        <f t="shared" si="4"/>
        <v>9.000000000000008E-2</v>
      </c>
      <c r="P7" s="1">
        <f t="shared" si="5"/>
        <v>-1.1099999999999999</v>
      </c>
      <c r="Q7" s="1">
        <f t="shared" si="5"/>
        <v>-0.90999999999999992</v>
      </c>
      <c r="R7" s="1">
        <f t="shared" si="6"/>
        <v>0.99</v>
      </c>
      <c r="S7" s="1">
        <f t="shared" si="6"/>
        <v>1.1900000000000002</v>
      </c>
      <c r="T7" s="1">
        <f t="shared" si="7"/>
        <v>-1.21</v>
      </c>
      <c r="U7" s="1">
        <f t="shared" si="7"/>
        <v>-1.01</v>
      </c>
    </row>
    <row r="8" spans="1:21" x14ac:dyDescent="0.35">
      <c r="B8" s="1">
        <v>1</v>
      </c>
      <c r="C8" s="1">
        <v>0.99999999999999989</v>
      </c>
      <c r="D8" s="1">
        <f t="shared" si="0"/>
        <v>0</v>
      </c>
      <c r="E8" s="1">
        <f t="shared" si="0"/>
        <v>0</v>
      </c>
      <c r="F8" s="1">
        <f t="shared" si="1"/>
        <v>-1</v>
      </c>
      <c r="G8" s="1">
        <f t="shared" si="1"/>
        <v>-1</v>
      </c>
      <c r="H8" s="1">
        <f t="shared" si="2"/>
        <v>1.1000000000000001</v>
      </c>
      <c r="I8" s="1">
        <f t="shared" si="2"/>
        <v>1.0999999999999999</v>
      </c>
      <c r="J8" s="1">
        <f t="shared" si="3"/>
        <v>-1.1000000000000001</v>
      </c>
      <c r="K8" s="1">
        <f t="shared" si="3"/>
        <v>-1.1000000000000001</v>
      </c>
      <c r="L8" s="1">
        <v>0.91</v>
      </c>
      <c r="M8" s="1">
        <v>1.1100000000000001</v>
      </c>
      <c r="N8" s="1">
        <f t="shared" si="4"/>
        <v>-8.9999999999999969E-2</v>
      </c>
      <c r="O8" s="1">
        <f t="shared" si="4"/>
        <v>0.1100000000000001</v>
      </c>
      <c r="P8" s="1">
        <f t="shared" si="5"/>
        <v>-1.0899999999999999</v>
      </c>
      <c r="Q8" s="1">
        <f t="shared" si="5"/>
        <v>-0.8899999999999999</v>
      </c>
      <c r="R8" s="1">
        <f t="shared" si="6"/>
        <v>1.01</v>
      </c>
      <c r="S8" s="1">
        <f t="shared" si="6"/>
        <v>1.2100000000000002</v>
      </c>
      <c r="T8" s="1">
        <f t="shared" si="7"/>
        <v>-1.19</v>
      </c>
      <c r="U8" s="1">
        <f t="shared" si="7"/>
        <v>-0.98999999999999988</v>
      </c>
    </row>
    <row r="9" spans="1:21" x14ac:dyDescent="0.35">
      <c r="B9" s="1">
        <v>1.2</v>
      </c>
      <c r="C9" s="1">
        <v>1.0999999999999999</v>
      </c>
      <c r="D9" s="1">
        <f t="shared" si="0"/>
        <v>0.19999999999999996</v>
      </c>
      <c r="E9" s="1">
        <f t="shared" si="0"/>
        <v>9.9999999999999867E-2</v>
      </c>
      <c r="F9" s="1">
        <f t="shared" si="1"/>
        <v>-0.8</v>
      </c>
      <c r="G9" s="1">
        <f t="shared" si="1"/>
        <v>-0.90000000000000013</v>
      </c>
      <c r="H9" s="1">
        <f t="shared" si="2"/>
        <v>1.3</v>
      </c>
      <c r="I9" s="1">
        <f t="shared" si="2"/>
        <v>1.2</v>
      </c>
      <c r="J9" s="1">
        <f t="shared" si="3"/>
        <v>-0.9</v>
      </c>
      <c r="K9" s="1">
        <f t="shared" si="3"/>
        <v>-1.0000000000000002</v>
      </c>
      <c r="L9" s="1">
        <v>0.92</v>
      </c>
      <c r="M9" s="1">
        <v>1.1200000000000001</v>
      </c>
      <c r="N9" s="1">
        <f t="shared" si="4"/>
        <v>-7.999999999999996E-2</v>
      </c>
      <c r="O9" s="1">
        <f t="shared" si="4"/>
        <v>0.12000000000000011</v>
      </c>
      <c r="P9" s="1">
        <f t="shared" si="5"/>
        <v>-1.08</v>
      </c>
      <c r="Q9" s="1">
        <f t="shared" si="5"/>
        <v>-0.87999999999999989</v>
      </c>
      <c r="R9" s="1">
        <f t="shared" si="6"/>
        <v>1.02</v>
      </c>
      <c r="S9" s="1">
        <f t="shared" si="6"/>
        <v>1.2200000000000002</v>
      </c>
      <c r="T9" s="1">
        <f t="shared" si="7"/>
        <v>-1.1800000000000002</v>
      </c>
      <c r="U9" s="1">
        <f t="shared" si="7"/>
        <v>-0.97999999999999987</v>
      </c>
    </row>
    <row r="10" spans="1:21" x14ac:dyDescent="0.35">
      <c r="B10" s="1">
        <v>1.4</v>
      </c>
      <c r="C10" s="1">
        <v>1.2</v>
      </c>
      <c r="D10" s="1">
        <f t="shared" si="0"/>
        <v>0.39999999999999991</v>
      </c>
      <c r="E10" s="1">
        <f t="shared" si="0"/>
        <v>0.19999999999999996</v>
      </c>
      <c r="F10" s="1">
        <f t="shared" si="1"/>
        <v>-0.60000000000000009</v>
      </c>
      <c r="G10" s="1">
        <f t="shared" si="1"/>
        <v>-0.8</v>
      </c>
      <c r="H10" s="1">
        <f t="shared" si="2"/>
        <v>1.5</v>
      </c>
      <c r="I10" s="1">
        <f t="shared" si="2"/>
        <v>1.3</v>
      </c>
      <c r="J10" s="1">
        <f t="shared" si="3"/>
        <v>-0.70000000000000007</v>
      </c>
      <c r="K10" s="1">
        <f t="shared" si="3"/>
        <v>-0.9</v>
      </c>
      <c r="L10" s="1">
        <v>0.93</v>
      </c>
      <c r="M10" s="1">
        <v>1.1300000000000001</v>
      </c>
      <c r="N10" s="1">
        <f t="shared" si="4"/>
        <v>-6.9999999999999951E-2</v>
      </c>
      <c r="O10" s="1">
        <f t="shared" si="4"/>
        <v>0.13000000000000012</v>
      </c>
      <c r="P10" s="1">
        <f t="shared" si="5"/>
        <v>-1.0699999999999998</v>
      </c>
      <c r="Q10" s="1">
        <f t="shared" si="5"/>
        <v>-0.86999999999999988</v>
      </c>
      <c r="R10" s="1">
        <f t="shared" si="6"/>
        <v>1.03</v>
      </c>
      <c r="S10" s="1">
        <f t="shared" si="6"/>
        <v>1.2300000000000002</v>
      </c>
      <c r="T10" s="1">
        <f t="shared" si="7"/>
        <v>-1.17</v>
      </c>
      <c r="U10" s="1">
        <f t="shared" si="7"/>
        <v>-0.96999999999999986</v>
      </c>
    </row>
    <row r="11" spans="1:21" x14ac:dyDescent="0.35">
      <c r="B11" s="1">
        <v>1.5999999999999999</v>
      </c>
      <c r="C11" s="1">
        <v>1.3</v>
      </c>
      <c r="D11" s="1">
        <f t="shared" si="0"/>
        <v>0.59999999999999987</v>
      </c>
      <c r="E11" s="1">
        <f t="shared" si="0"/>
        <v>0.30000000000000004</v>
      </c>
      <c r="F11" s="1">
        <f t="shared" si="1"/>
        <v>-0.40000000000000013</v>
      </c>
      <c r="G11" s="1">
        <f t="shared" si="1"/>
        <v>-0.7</v>
      </c>
      <c r="H11" s="1">
        <f t="shared" si="2"/>
        <v>1.7</v>
      </c>
      <c r="I11" s="1">
        <f t="shared" si="2"/>
        <v>1.4000000000000001</v>
      </c>
      <c r="J11" s="1">
        <f t="shared" si="3"/>
        <v>-0.50000000000000011</v>
      </c>
      <c r="K11" s="1">
        <f t="shared" si="3"/>
        <v>-0.79999999999999993</v>
      </c>
      <c r="L11" s="1">
        <v>0.94000000000000006</v>
      </c>
      <c r="M11" s="1">
        <v>1.1400000000000001</v>
      </c>
      <c r="N11" s="1">
        <f t="shared" si="4"/>
        <v>-5.9999999999999942E-2</v>
      </c>
      <c r="O11" s="1">
        <f t="shared" si="4"/>
        <v>0.14000000000000012</v>
      </c>
      <c r="P11" s="1">
        <f t="shared" si="5"/>
        <v>-1.06</v>
      </c>
      <c r="Q11" s="1">
        <f t="shared" si="5"/>
        <v>-0.85999999999999988</v>
      </c>
      <c r="R11" s="1">
        <f t="shared" si="6"/>
        <v>1.04</v>
      </c>
      <c r="S11" s="1">
        <f t="shared" si="6"/>
        <v>1.2400000000000002</v>
      </c>
      <c r="T11" s="1">
        <f t="shared" si="7"/>
        <v>-1.1600000000000001</v>
      </c>
      <c r="U11" s="1">
        <f t="shared" si="7"/>
        <v>-0.95999999999999985</v>
      </c>
    </row>
    <row r="12" spans="1:21" x14ac:dyDescent="0.35">
      <c r="B12" s="1">
        <v>1.7999999999999998</v>
      </c>
      <c r="C12" s="1">
        <v>1.4000000000000001</v>
      </c>
      <c r="D12" s="1">
        <f t="shared" si="0"/>
        <v>0.79999999999999982</v>
      </c>
      <c r="E12" s="1">
        <f t="shared" si="0"/>
        <v>0.40000000000000013</v>
      </c>
      <c r="F12" s="1">
        <f t="shared" si="1"/>
        <v>-0.20000000000000018</v>
      </c>
      <c r="G12" s="1">
        <f t="shared" si="1"/>
        <v>-0.59999999999999987</v>
      </c>
      <c r="H12" s="1">
        <f t="shared" si="2"/>
        <v>1.9</v>
      </c>
      <c r="I12" s="1">
        <f t="shared" si="2"/>
        <v>1.5000000000000002</v>
      </c>
      <c r="J12" s="1">
        <f t="shared" si="3"/>
        <v>-0.30000000000000016</v>
      </c>
      <c r="K12" s="1">
        <f t="shared" si="3"/>
        <v>-0.69999999999999984</v>
      </c>
      <c r="L12" s="1">
        <v>0.95000000000000007</v>
      </c>
      <c r="M12" s="1">
        <v>1.1500000000000001</v>
      </c>
      <c r="N12" s="1">
        <f t="shared" si="4"/>
        <v>-4.9999999999999933E-2</v>
      </c>
      <c r="O12" s="1">
        <f t="shared" si="4"/>
        <v>0.15000000000000013</v>
      </c>
      <c r="P12" s="1">
        <f t="shared" si="5"/>
        <v>-1.0499999999999998</v>
      </c>
      <c r="Q12" s="1">
        <f t="shared" si="5"/>
        <v>-0.84999999999999987</v>
      </c>
      <c r="R12" s="1">
        <f t="shared" si="6"/>
        <v>1.05</v>
      </c>
      <c r="S12" s="1">
        <f t="shared" si="6"/>
        <v>1.2500000000000002</v>
      </c>
      <c r="T12" s="1">
        <f t="shared" si="7"/>
        <v>-1.1499999999999999</v>
      </c>
      <c r="U12" s="1">
        <f t="shared" si="7"/>
        <v>-0.94999999999999984</v>
      </c>
    </row>
    <row r="13" spans="1:21" x14ac:dyDescent="0.35">
      <c r="B13" s="1">
        <v>1.9999999999999998</v>
      </c>
      <c r="C13" s="1">
        <v>1.5000000000000002</v>
      </c>
      <c r="D13" s="1">
        <f t="shared" si="0"/>
        <v>0.99999999999999978</v>
      </c>
      <c r="E13" s="1">
        <f t="shared" si="0"/>
        <v>0.50000000000000022</v>
      </c>
      <c r="F13" s="1">
        <f t="shared" si="1"/>
        <v>0</v>
      </c>
      <c r="G13" s="1">
        <f t="shared" si="1"/>
        <v>-0.49999999999999978</v>
      </c>
      <c r="H13" s="1">
        <f t="shared" si="2"/>
        <v>2.0999999999999996</v>
      </c>
      <c r="I13" s="1">
        <f t="shared" si="2"/>
        <v>1.6000000000000003</v>
      </c>
      <c r="J13" s="1">
        <f t="shared" si="3"/>
        <v>-0.1</v>
      </c>
      <c r="K13" s="1">
        <f t="shared" si="3"/>
        <v>-0.59999999999999976</v>
      </c>
      <c r="L13" s="1">
        <v>2</v>
      </c>
      <c r="M13" s="1">
        <v>0</v>
      </c>
      <c r="N13" s="1">
        <f t="shared" si="4"/>
        <v>1</v>
      </c>
      <c r="O13" s="1">
        <f t="shared" si="4"/>
        <v>-1</v>
      </c>
      <c r="P13" s="1">
        <f t="shared" si="5"/>
        <v>0</v>
      </c>
      <c r="Q13" s="1">
        <f t="shared" si="5"/>
        <v>-2</v>
      </c>
      <c r="R13" s="1">
        <f t="shared" si="6"/>
        <v>2.1</v>
      </c>
      <c r="S13" s="1">
        <f t="shared" si="6"/>
        <v>0.1</v>
      </c>
      <c r="T13" s="1">
        <f t="shared" si="7"/>
        <v>-0.1</v>
      </c>
      <c r="U13" s="1">
        <f t="shared" si="7"/>
        <v>-2.1</v>
      </c>
    </row>
    <row r="15" spans="1:21" x14ac:dyDescent="0.35">
      <c r="A15" t="s">
        <v>2</v>
      </c>
      <c r="B15" s="1">
        <f t="shared" ref="B15:U15" si="8">AVERAGE(B3:B13)</f>
        <v>1</v>
      </c>
      <c r="C15" s="1">
        <f t="shared" si="8"/>
        <v>1</v>
      </c>
      <c r="D15" s="1">
        <f t="shared" si="8"/>
        <v>0</v>
      </c>
      <c r="E15" s="1">
        <f t="shared" si="8"/>
        <v>0</v>
      </c>
      <c r="F15" s="1">
        <f t="shared" si="8"/>
        <v>-1</v>
      </c>
      <c r="G15" s="1">
        <f t="shared" si="8"/>
        <v>-1</v>
      </c>
      <c r="H15" s="1">
        <f t="shared" si="8"/>
        <v>1.0999999999999999</v>
      </c>
      <c r="I15" s="1">
        <f t="shared" si="8"/>
        <v>1.0999999999999999</v>
      </c>
      <c r="J15" s="1">
        <f t="shared" si="8"/>
        <v>-1.0999999999999999</v>
      </c>
      <c r="K15" s="1">
        <f t="shared" si="8"/>
        <v>-1.1000000000000001</v>
      </c>
      <c r="L15" s="1">
        <f t="shared" si="8"/>
        <v>0.99999999999999989</v>
      </c>
      <c r="M15" s="1">
        <f t="shared" si="8"/>
        <v>1.0000000000000002</v>
      </c>
      <c r="N15" s="1">
        <f t="shared" si="8"/>
        <v>0</v>
      </c>
      <c r="O15" s="1">
        <f t="shared" si="8"/>
        <v>0</v>
      </c>
      <c r="P15" s="1">
        <f t="shared" si="8"/>
        <v>-1</v>
      </c>
      <c r="Q15" s="1">
        <f t="shared" si="8"/>
        <v>-0.99999999999999989</v>
      </c>
      <c r="R15" s="1">
        <f t="shared" si="8"/>
        <v>1.0999999999999999</v>
      </c>
      <c r="S15" s="1">
        <f t="shared" si="8"/>
        <v>1.1000000000000001</v>
      </c>
      <c r="T15" s="1">
        <f t="shared" si="8"/>
        <v>-1.0999999999999999</v>
      </c>
      <c r="U15" s="1">
        <f t="shared" si="8"/>
        <v>-1.0999999999999999</v>
      </c>
    </row>
    <row r="16" spans="1:21" x14ac:dyDescent="0.35">
      <c r="A16" s="3" t="s">
        <v>3</v>
      </c>
      <c r="B16" s="4">
        <f t="shared" ref="B16:U16" si="9">_xlfn.STDEV.P(B3:B13)</f>
        <v>0.63245553203367566</v>
      </c>
      <c r="C16" s="4">
        <f t="shared" si="9"/>
        <v>0.31622776601683822</v>
      </c>
      <c r="D16" s="4">
        <f t="shared" si="9"/>
        <v>0.63245553203367577</v>
      </c>
      <c r="E16" s="4">
        <f t="shared" si="9"/>
        <v>0.316227766016838</v>
      </c>
      <c r="F16" s="4">
        <f t="shared" si="9"/>
        <v>0.63245553203367588</v>
      </c>
      <c r="G16" s="4">
        <f t="shared" si="9"/>
        <v>0.31622776601683822</v>
      </c>
      <c r="H16" s="4">
        <f t="shared" si="9"/>
        <v>0.63245553203367588</v>
      </c>
      <c r="I16" s="4">
        <f t="shared" si="9"/>
        <v>0.31622776601683822</v>
      </c>
      <c r="J16" s="4">
        <f t="shared" si="9"/>
        <v>0.63245553203367566</v>
      </c>
      <c r="K16" s="4">
        <f t="shared" si="9"/>
        <v>0.31622776601683822</v>
      </c>
      <c r="L16" s="1">
        <f t="shared" si="9"/>
        <v>0.31780497164141469</v>
      </c>
      <c r="M16" s="1">
        <f t="shared" si="9"/>
        <v>0.31780497164141358</v>
      </c>
      <c r="N16" s="1">
        <f t="shared" si="9"/>
        <v>0.31780497164141408</v>
      </c>
      <c r="O16" s="1">
        <f t="shared" si="9"/>
        <v>0.31780497164141408</v>
      </c>
      <c r="P16" s="1">
        <f t="shared" si="9"/>
        <v>0.31780497164141375</v>
      </c>
      <c r="Q16" s="1">
        <f t="shared" si="9"/>
        <v>0.3178049716414143</v>
      </c>
      <c r="R16" s="1">
        <f t="shared" si="9"/>
        <v>0.31780497164141414</v>
      </c>
      <c r="S16" s="1">
        <f t="shared" si="9"/>
        <v>0.31780497164141414</v>
      </c>
      <c r="T16" s="1">
        <f t="shared" si="9"/>
        <v>0.31780497164141414</v>
      </c>
      <c r="U16" s="1">
        <f t="shared" si="9"/>
        <v>0.31780497164141486</v>
      </c>
    </row>
    <row r="17" spans="1:21" x14ac:dyDescent="0.35">
      <c r="A17" t="s">
        <v>4</v>
      </c>
      <c r="B17" s="1">
        <f t="shared" ref="B17:U17" si="10">_xlfn.SKEW.P(B3:B13)</f>
        <v>-4.0371746350005691E-16</v>
      </c>
      <c r="C17" s="1">
        <f t="shared" si="10"/>
        <v>6.0557619525008534E-16</v>
      </c>
      <c r="D17" s="1">
        <f t="shared" si="10"/>
        <v>-4.4408920985006262E-16</v>
      </c>
      <c r="E17" s="1">
        <f t="shared" si="10"/>
        <v>6.0557619525008534E-16</v>
      </c>
      <c r="F17" s="1">
        <f t="shared" si="10"/>
        <v>-2.8260222445003984E-16</v>
      </c>
      <c r="G17" s="1">
        <f t="shared" si="10"/>
        <v>7.6706318065010816E-16</v>
      </c>
      <c r="H17" s="1">
        <f t="shared" si="10"/>
        <v>1.2111523905001707E-16</v>
      </c>
      <c r="I17" s="1">
        <f t="shared" si="10"/>
        <v>2.2204460492503131E-15</v>
      </c>
      <c r="J17" s="1">
        <f t="shared" si="10"/>
        <v>-8.4780667335011958E-16</v>
      </c>
      <c r="K17" s="1">
        <f t="shared" si="10"/>
        <v>1.2111523905001707E-15</v>
      </c>
      <c r="L17" s="4">
        <f t="shared" si="10"/>
        <v>2.7945403348921536</v>
      </c>
      <c r="M17" s="4">
        <f t="shared" si="10"/>
        <v>-2.7945403348921536</v>
      </c>
      <c r="N17" s="4">
        <f t="shared" si="10"/>
        <v>2.7945403348921518</v>
      </c>
      <c r="O17" s="4">
        <f t="shared" si="10"/>
        <v>-2.7945403348921518</v>
      </c>
      <c r="P17" s="4">
        <f t="shared" si="10"/>
        <v>2.7945403348921518</v>
      </c>
      <c r="Q17" s="4">
        <f t="shared" si="10"/>
        <v>-2.7945403348921518</v>
      </c>
      <c r="R17" s="4">
        <f t="shared" si="10"/>
        <v>2.7945403348921536</v>
      </c>
      <c r="S17" s="4">
        <f t="shared" si="10"/>
        <v>-2.7945403348921518</v>
      </c>
      <c r="T17" s="4">
        <f t="shared" si="10"/>
        <v>2.7945403348921505</v>
      </c>
      <c r="U17" s="4">
        <f t="shared" si="10"/>
        <v>-2.7945403348921518</v>
      </c>
    </row>
    <row r="18" spans="1:21" x14ac:dyDescent="0.35">
      <c r="A18" t="s">
        <v>5</v>
      </c>
      <c r="B18" s="1">
        <f t="shared" ref="B18:U18" si="11">KURT(B3:B13)</f>
        <v>-1.2000000000000011</v>
      </c>
      <c r="C18" s="1">
        <f t="shared" si="11"/>
        <v>-1.200000000000002</v>
      </c>
      <c r="D18" s="1">
        <f t="shared" si="11"/>
        <v>-1.1999999999999997</v>
      </c>
      <c r="E18" s="1">
        <f t="shared" si="11"/>
        <v>-1.200000000000002</v>
      </c>
      <c r="F18" s="1">
        <f t="shared" si="11"/>
        <v>-1.200000000000002</v>
      </c>
      <c r="G18" s="1">
        <f t="shared" si="11"/>
        <v>-1.200000000000002</v>
      </c>
      <c r="H18" s="1">
        <f t="shared" si="11"/>
        <v>-1.200000000000002</v>
      </c>
      <c r="I18" s="1">
        <f t="shared" si="11"/>
        <v>-1.2000000000000011</v>
      </c>
      <c r="J18" s="1">
        <f t="shared" si="11"/>
        <v>-1.2000000000000011</v>
      </c>
      <c r="K18" s="1">
        <f t="shared" si="11"/>
        <v>-1.2000000000000002</v>
      </c>
      <c r="L18" s="1">
        <f t="shared" si="11"/>
        <v>10.711250530993702</v>
      </c>
      <c r="M18" s="1">
        <f t="shared" si="11"/>
        <v>10.711250530993702</v>
      </c>
      <c r="N18" s="1">
        <f t="shared" si="11"/>
        <v>10.711250530993684</v>
      </c>
      <c r="O18" s="1">
        <f t="shared" si="11"/>
        <v>10.711250530993684</v>
      </c>
      <c r="P18" s="1">
        <f t="shared" si="11"/>
        <v>10.711250530993684</v>
      </c>
      <c r="Q18" s="1">
        <f t="shared" si="11"/>
        <v>10.711250530993684</v>
      </c>
      <c r="R18" s="1">
        <f t="shared" si="11"/>
        <v>10.711250530993702</v>
      </c>
      <c r="S18" s="1">
        <f t="shared" si="11"/>
        <v>10.711250530993684</v>
      </c>
      <c r="T18" s="1">
        <f t="shared" si="11"/>
        <v>10.711250530993684</v>
      </c>
      <c r="U18" s="1">
        <f t="shared" si="11"/>
        <v>10.711250530993691</v>
      </c>
    </row>
    <row r="19" spans="1:21" x14ac:dyDescent="0.35">
      <c r="A19" t="s">
        <v>14</v>
      </c>
      <c r="B19" s="1">
        <f t="shared" ref="B19:U19" si="12">MIN(B3:B13)</f>
        <v>0</v>
      </c>
      <c r="C19" s="1">
        <f t="shared" si="12"/>
        <v>0.5</v>
      </c>
      <c r="D19" s="1">
        <f t="shared" si="12"/>
        <v>-1</v>
      </c>
      <c r="E19" s="1">
        <f t="shared" si="12"/>
        <v>-0.5</v>
      </c>
      <c r="F19" s="1">
        <f t="shared" si="12"/>
        <v>-2</v>
      </c>
      <c r="G19" s="1">
        <f t="shared" si="12"/>
        <v>-1.5</v>
      </c>
      <c r="H19" s="1">
        <f t="shared" si="12"/>
        <v>0.1</v>
      </c>
      <c r="I19" s="1">
        <f t="shared" si="12"/>
        <v>0.6</v>
      </c>
      <c r="J19" s="1">
        <f t="shared" si="12"/>
        <v>-2.1</v>
      </c>
      <c r="K19" s="1">
        <f t="shared" si="12"/>
        <v>-1.6</v>
      </c>
      <c r="L19" s="1">
        <f t="shared" si="12"/>
        <v>0.85</v>
      </c>
      <c r="M19" s="1">
        <f t="shared" si="12"/>
        <v>0</v>
      </c>
      <c r="N19" s="1">
        <f t="shared" si="12"/>
        <v>-0.15000000000000002</v>
      </c>
      <c r="O19" s="1">
        <f t="shared" si="12"/>
        <v>-1</v>
      </c>
      <c r="P19" s="1">
        <f t="shared" si="12"/>
        <v>-1.1499999999999999</v>
      </c>
      <c r="Q19" s="1">
        <f t="shared" si="12"/>
        <v>-2</v>
      </c>
      <c r="R19" s="1">
        <f t="shared" si="12"/>
        <v>0.95</v>
      </c>
      <c r="S19" s="1">
        <f t="shared" si="12"/>
        <v>0.1</v>
      </c>
      <c r="T19" s="1">
        <f t="shared" si="12"/>
        <v>-1.25</v>
      </c>
      <c r="U19" s="1">
        <f t="shared" si="12"/>
        <v>-2.1</v>
      </c>
    </row>
    <row r="20" spans="1:21" x14ac:dyDescent="0.35">
      <c r="A20" t="s">
        <v>15</v>
      </c>
      <c r="B20" s="1">
        <f t="shared" ref="B20:U20" si="13">MAX(B3:B13)</f>
        <v>1.9999999999999998</v>
      </c>
      <c r="C20" s="1">
        <f t="shared" si="13"/>
        <v>1.5000000000000002</v>
      </c>
      <c r="D20" s="1">
        <f t="shared" si="13"/>
        <v>0.99999999999999978</v>
      </c>
      <c r="E20" s="1">
        <f t="shared" si="13"/>
        <v>0.50000000000000022</v>
      </c>
      <c r="F20" s="1">
        <f t="shared" si="13"/>
        <v>0</v>
      </c>
      <c r="G20" s="1">
        <f t="shared" si="13"/>
        <v>-0.49999999999999978</v>
      </c>
      <c r="H20" s="1">
        <f t="shared" si="13"/>
        <v>2.0999999999999996</v>
      </c>
      <c r="I20" s="1">
        <f t="shared" si="13"/>
        <v>1.6000000000000003</v>
      </c>
      <c r="J20" s="1">
        <f t="shared" si="13"/>
        <v>-0.1</v>
      </c>
      <c r="K20" s="1">
        <f t="shared" si="13"/>
        <v>-0.59999999999999976</v>
      </c>
      <c r="L20" s="1">
        <f t="shared" si="13"/>
        <v>2</v>
      </c>
      <c r="M20" s="1">
        <f t="shared" si="13"/>
        <v>1.1500000000000001</v>
      </c>
      <c r="N20" s="1">
        <f t="shared" si="13"/>
        <v>1</v>
      </c>
      <c r="O20" s="1">
        <f t="shared" si="13"/>
        <v>0.15000000000000013</v>
      </c>
      <c r="P20" s="1">
        <f t="shared" si="13"/>
        <v>0</v>
      </c>
      <c r="Q20" s="1">
        <f t="shared" si="13"/>
        <v>-0.84999999999999987</v>
      </c>
      <c r="R20" s="1">
        <f t="shared" si="13"/>
        <v>2.1</v>
      </c>
      <c r="S20" s="1">
        <f t="shared" si="13"/>
        <v>1.2500000000000002</v>
      </c>
      <c r="T20" s="1">
        <f t="shared" si="13"/>
        <v>-0.1</v>
      </c>
      <c r="U20" s="1">
        <f t="shared" si="13"/>
        <v>-0.94999999999999984</v>
      </c>
    </row>
    <row r="21" spans="1:21" x14ac:dyDescent="0.35">
      <c r="A21" t="s">
        <v>16</v>
      </c>
      <c r="B21" s="1">
        <f>CORREL(B3:B13,C3:C13)</f>
        <v>0.99999999999999989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1.0000000000000002</v>
      </c>
      <c r="L21" s="1">
        <f>CORREL(L3:L13,M3:M13)</f>
        <v>-0.98019801980198018</v>
      </c>
      <c r="N21" s="1">
        <f>CORREL(N3:N13,O3:O13)</f>
        <v>-0.98019801980198007</v>
      </c>
      <c r="P21" s="1">
        <f>CORREL(P3:P13,Q3:Q13)</f>
        <v>-0.98019801980198007</v>
      </c>
      <c r="R21" s="1">
        <f>CORREL(R3:R13,S3:S13)</f>
        <v>-0.98019801980198029</v>
      </c>
      <c r="T21" s="1">
        <f>CORREL(T3:T13,U3:U13)</f>
        <v>-0.98019801980197996</v>
      </c>
    </row>
    <row r="22" spans="1:21" x14ac:dyDescent="0.35">
      <c r="A22" t="s">
        <v>17</v>
      </c>
      <c r="B22" cm="1">
        <f t="array" ref="B22">SUMPRODUCT((B3:B13&gt;C3:C13)*1)</f>
        <v>5</v>
      </c>
      <c r="C22" cm="1">
        <f t="array" ref="C22">SUMPRODUCT((B3:B13&lt;C3:C13)*1)</f>
        <v>5</v>
      </c>
      <c r="D22" cm="1">
        <f t="array" ref="D22">SUMPRODUCT((D3:D13&gt;E3:E13)*1)</f>
        <v>5</v>
      </c>
      <c r="E22" cm="1">
        <f t="array" ref="E22">SUMPRODUCT((D3:D13&lt;E3:E13)*1)</f>
        <v>5</v>
      </c>
      <c r="F22" cm="1">
        <f t="array" ref="F22">SUMPRODUCT((F3:F13&gt;G3:G13)*1)</f>
        <v>5</v>
      </c>
      <c r="G22" cm="1">
        <f t="array" ref="G22">SUMPRODUCT((F3:F13&lt;G3:G13)*1)</f>
        <v>5</v>
      </c>
      <c r="H22" cm="1">
        <f t="array" ref="H22">SUMPRODUCT((H3:H13&gt;I3:I13)*1)</f>
        <v>5</v>
      </c>
      <c r="I22" cm="1">
        <f t="array" ref="I22">SUMPRODUCT((H3:H13&lt;I3:I13)*1)</f>
        <v>5</v>
      </c>
      <c r="J22" cm="1">
        <f t="array" ref="J22">SUMPRODUCT((J3:J13&gt;K3:K13)*1)</f>
        <v>5</v>
      </c>
      <c r="K22" cm="1">
        <f t="array" ref="K22">SUMPRODUCT((J3:J13&lt;K3:K13)*1)</f>
        <v>5</v>
      </c>
      <c r="L22" cm="1">
        <f t="array" ref="L22">SUMPRODUCT((L3:L13&gt;M3:M13)*1)</f>
        <v>1</v>
      </c>
      <c r="M22" cm="1">
        <f t="array" ref="M22">SUMPRODUCT((L3:L13&lt;M3:M13)*1)</f>
        <v>10</v>
      </c>
      <c r="N22" cm="1">
        <f t="array" ref="N22">SUMPRODUCT((N3:N13&gt;O3:O13)*1)</f>
        <v>1</v>
      </c>
      <c r="O22" cm="1">
        <f t="array" ref="O22">SUMPRODUCT((N3:N13&lt;O3:O13)*1)</f>
        <v>10</v>
      </c>
      <c r="P22" cm="1">
        <f t="array" ref="P22">SUMPRODUCT((P3:P13&gt;Q3:Q13)*1)</f>
        <v>1</v>
      </c>
      <c r="Q22" cm="1">
        <f t="array" ref="Q22">SUMPRODUCT((P3:P13&lt;Q3:Q13)*1)</f>
        <v>10</v>
      </c>
      <c r="R22" cm="1">
        <f t="array" ref="R22">SUMPRODUCT((R3:R13&gt;S3:S13)*1)</f>
        <v>1</v>
      </c>
      <c r="S22" cm="1">
        <f t="array" ref="S22">SUMPRODUCT((R3:R13&lt;S3:S13)*1)</f>
        <v>10</v>
      </c>
      <c r="T22" cm="1">
        <f t="array" ref="T22">SUMPRODUCT((T3:T13&gt;U3:U13)*1)</f>
        <v>1</v>
      </c>
      <c r="U22" cm="1">
        <f t="array" ref="U22">SUMPRODUCT((T3:T13&lt;U3:U13)*1)</f>
        <v>10</v>
      </c>
    </row>
    <row r="23" spans="1:21" x14ac:dyDescent="0.35">
      <c r="A23" s="5" t="s">
        <v>20</v>
      </c>
      <c r="B23" s="6" t="str">
        <f>IF(B22&gt;C22,"A",IF(C22&gt;B22,"B","Equal"))</f>
        <v>Equal</v>
      </c>
      <c r="D23" s="6" t="str">
        <f>IF(D22&gt;E22,"A",IF(E22&gt;D22,"B","Equal"))</f>
        <v>Equal</v>
      </c>
      <c r="F23" s="6" t="str">
        <f>IF(F22&gt;G22,"A",IF(G22&gt;F22,"B","Equal"))</f>
        <v>Equal</v>
      </c>
      <c r="H23" s="6" t="str">
        <f>IF(H22&gt;I22,"A",IF(I22&gt;H22,"B","Equal"))</f>
        <v>Equal</v>
      </c>
      <c r="J23" s="6" t="str">
        <f>IF(J22&gt;K22,"A",IF(K22&gt;J22,"B","Equal"))</f>
        <v>Equal</v>
      </c>
      <c r="L23" s="6" t="str">
        <f>IF(L22&gt;M22,"A",IF(M22&gt;L22,"B","Equal"))</f>
        <v>B</v>
      </c>
      <c r="N23" s="6" t="str">
        <f>IF(N22&gt;O22,"A",IF(O22&gt;N22,"B","Equal"))</f>
        <v>B</v>
      </c>
      <c r="P23" s="6" t="str">
        <f>IF(P22&gt;Q22,"A",IF(Q22&gt;P22,"B","Equal"))</f>
        <v>B</v>
      </c>
      <c r="R23" s="6" t="str">
        <f>IF(R22&gt;S22,"A",IF(S22&gt;R22,"B","Equal"))</f>
        <v>B</v>
      </c>
      <c r="T23" s="6" t="str">
        <f>IF(T22&gt;U22,"A",IF(U22&gt;T22,"B","Equal"))</f>
        <v>B</v>
      </c>
    </row>
    <row r="24" spans="1:21" x14ac:dyDescent="0.35">
      <c r="A24" t="s">
        <v>19</v>
      </c>
      <c r="B24">
        <f>MAX(B22:C22)</f>
        <v>5</v>
      </c>
      <c r="D24">
        <f>MAX(D22:E22)</f>
        <v>5</v>
      </c>
      <c r="F24">
        <f>MAX(F22:G22)</f>
        <v>5</v>
      </c>
      <c r="H24">
        <f>MAX(H22:I22)</f>
        <v>5</v>
      </c>
      <c r="J24">
        <f>MAX(J22:K22)</f>
        <v>5</v>
      </c>
      <c r="L24">
        <f>MAX(L22:M22)</f>
        <v>10</v>
      </c>
      <c r="N24">
        <f>MAX(N22:O22)</f>
        <v>10</v>
      </c>
      <c r="P24">
        <f>MAX(P22:Q22)</f>
        <v>10</v>
      </c>
      <c r="R24">
        <f>MAX(R22:S22)</f>
        <v>10</v>
      </c>
      <c r="T24">
        <f>MAX(T22:U22)</f>
        <v>10</v>
      </c>
    </row>
    <row r="26" spans="1:21" x14ac:dyDescent="0.35">
      <c r="A26" s="2" t="s">
        <v>18</v>
      </c>
      <c r="B26" s="7" t="s">
        <v>9</v>
      </c>
      <c r="C26" s="7"/>
      <c r="D26" s="7" t="s">
        <v>10</v>
      </c>
      <c r="E26" s="7"/>
      <c r="F26" s="7" t="s">
        <v>11</v>
      </c>
      <c r="G26" s="7"/>
      <c r="H26" s="7" t="s">
        <v>12</v>
      </c>
      <c r="I26" s="7"/>
      <c r="J26" s="7" t="s">
        <v>13</v>
      </c>
      <c r="K26" s="7"/>
      <c r="L26" s="7" t="s">
        <v>0</v>
      </c>
      <c r="M26" s="7"/>
      <c r="N26" s="7" t="s">
        <v>1</v>
      </c>
      <c r="O26" s="7"/>
      <c r="P26" s="7" t="s">
        <v>6</v>
      </c>
      <c r="Q26" s="7"/>
      <c r="R26" s="7" t="s">
        <v>7</v>
      </c>
      <c r="S26" s="7"/>
      <c r="T26" s="7" t="s">
        <v>8</v>
      </c>
      <c r="U26" s="7"/>
    </row>
    <row r="27" spans="1:21" x14ac:dyDescent="0.35">
      <c r="A27">
        <v>1</v>
      </c>
      <c r="B27" s="1" cm="1">
        <f t="array" aca="1" ref="B27:B37" ca="1">_xlfn.SORTBY(B3:B13,_xlfn.RANDARRAY(ROWS(B3:B13)))</f>
        <v>1.7999999999999998</v>
      </c>
      <c r="C27" s="1" cm="1">
        <f t="array" aca="1" ref="C27:C37" ca="1">_xlfn.SORTBY(C3:C13,_xlfn.RANDARRAY(ROWS(C3:C13)))</f>
        <v>0.7</v>
      </c>
      <c r="D27" s="1" cm="1">
        <f t="array" aca="1" ref="D27:D37" ca="1">_xlfn.SORTBY(D3:D13,_xlfn.RANDARRAY(ROWS(D3:D13)))</f>
        <v>-0.19999999999999996</v>
      </c>
      <c r="E27" s="1" cm="1">
        <f t="array" aca="1" ref="E27:E37" ca="1">_xlfn.SORTBY(E3:E13,_xlfn.RANDARRAY(ROWS(E3:E13)))</f>
        <v>0.40000000000000013</v>
      </c>
      <c r="F27" s="1" cm="1">
        <f t="array" aca="1" ref="F27:F37" ca="1">_xlfn.SORTBY(F3:F13,_xlfn.RANDARRAY(ROWS(F3:F13)))</f>
        <v>0</v>
      </c>
      <c r="G27" s="1" cm="1">
        <f t="array" aca="1" ref="G27:G37" ca="1">_xlfn.SORTBY(G3:G13,_xlfn.RANDARRAY(ROWS(G3:G13)))</f>
        <v>-1.1000000000000001</v>
      </c>
      <c r="H27" s="1" cm="1">
        <f t="array" aca="1" ref="H27:H37" ca="1">_xlfn.SORTBY(H3:H13,_xlfn.RANDARRAY(ROWS(H3:H13)))</f>
        <v>1.3</v>
      </c>
      <c r="I27" s="1" cm="1">
        <f t="array" aca="1" ref="I27:I37" ca="1">_xlfn.SORTBY(I3:I13,_xlfn.RANDARRAY(ROWS(I3:I13)))</f>
        <v>1.4000000000000001</v>
      </c>
      <c r="J27" s="1" cm="1">
        <f t="array" aca="1" ref="J27:J37" ca="1">_xlfn.SORTBY(J3:J13,_xlfn.RANDARRAY(ROWS(J3:J13)))</f>
        <v>-0.30000000000000016</v>
      </c>
      <c r="K27" s="1" cm="1">
        <f t="array" aca="1" ref="K27:K37" ca="1">_xlfn.SORTBY(K3:K13,_xlfn.RANDARRAY(ROWS(K3:K13)))</f>
        <v>-0.59999999999999976</v>
      </c>
      <c r="L27" s="1" cm="1">
        <f t="array" aca="1" ref="L27:L37" ca="1">_xlfn.SORTBY(L3:L13,_xlfn.RANDARRAY(ROWS(L3:L13)))</f>
        <v>0.89</v>
      </c>
      <c r="M27" s="1" cm="1">
        <f t="array" aca="1" ref="M27:M37" ca="1">_xlfn.SORTBY(M3:M13,_xlfn.RANDARRAY(ROWS(M3:M13)))</f>
        <v>1.1500000000000001</v>
      </c>
      <c r="N27" s="1" cm="1">
        <f t="array" aca="1" ref="N27:N37" ca="1">_xlfn.SORTBY(N3:N13,_xlfn.RANDARRAY(ROWS(N3:N13)))</f>
        <v>-6.9999999999999951E-2</v>
      </c>
      <c r="O27" s="1" cm="1">
        <f t="array" aca="1" ref="O27:O37" ca="1">_xlfn.SORTBY(O3:O13,_xlfn.RANDARRAY(ROWS(O3:O13)))</f>
        <v>0.1100000000000001</v>
      </c>
      <c r="P27" s="1" cm="1">
        <f t="array" aca="1" ref="P27:P37" ca="1">_xlfn.SORTBY(P3:P13,_xlfn.RANDARRAY(ROWS(P3:P13)))</f>
        <v>-1.0499999999999998</v>
      </c>
      <c r="Q27" s="1" cm="1">
        <f t="array" aca="1" ref="Q27:Q37" ca="1">_xlfn.SORTBY(Q3:Q13,_xlfn.RANDARRAY(ROWS(Q3:Q13)))</f>
        <v>-2</v>
      </c>
      <c r="R27" s="1" cm="1">
        <f t="array" aca="1" ref="R27:R37" ca="1">_xlfn.SORTBY(R3:R13,_xlfn.RANDARRAY(ROWS(R3:R13)))</f>
        <v>1.01</v>
      </c>
      <c r="S27" s="1" cm="1">
        <f t="array" aca="1" ref="S27:S37" ca="1">_xlfn.SORTBY(S3:S13,_xlfn.RANDARRAY(ROWS(S3:S13)))</f>
        <v>1.2100000000000002</v>
      </c>
      <c r="T27" s="1" cm="1">
        <f t="array" aca="1" ref="T27:T37" ca="1">_xlfn.SORTBY(T3:T13,_xlfn.RANDARRAY(ROWS(T3:T13)))</f>
        <v>-1.2200000000000002</v>
      </c>
      <c r="U27" s="1" cm="1">
        <f t="array" aca="1" ref="U27:U37" ca="1">_xlfn.SORTBY(U3:U13,_xlfn.RANDARRAY(ROWS(U3:U13)))</f>
        <v>-0.97999999999999987</v>
      </c>
    </row>
    <row r="28" spans="1:21" x14ac:dyDescent="0.35">
      <c r="A28">
        <v>2</v>
      </c>
      <c r="B28" s="1">
        <f ca="1"/>
        <v>0.2</v>
      </c>
      <c r="C28" s="1">
        <f ca="1"/>
        <v>1.2</v>
      </c>
      <c r="D28" s="1">
        <f ca="1"/>
        <v>-0.39999999999999991</v>
      </c>
      <c r="E28" s="1">
        <f ca="1"/>
        <v>-0.5</v>
      </c>
      <c r="F28" s="1">
        <f ca="1"/>
        <v>-2</v>
      </c>
      <c r="G28" s="1">
        <f ca="1"/>
        <v>-1</v>
      </c>
      <c r="H28" s="1">
        <f ca="1"/>
        <v>2.0999999999999996</v>
      </c>
      <c r="I28" s="1">
        <f ca="1"/>
        <v>0.6</v>
      </c>
      <c r="J28" s="1">
        <f ca="1"/>
        <v>-1.1000000000000001</v>
      </c>
      <c r="K28" s="1">
        <f ca="1"/>
        <v>-1.3000000000000003</v>
      </c>
      <c r="L28" s="1">
        <f ca="1"/>
        <v>0.91</v>
      </c>
      <c r="M28" s="1">
        <f ca="1"/>
        <v>1.07</v>
      </c>
      <c r="N28" s="1">
        <f ca="1"/>
        <v>-0.14000000000000001</v>
      </c>
      <c r="O28" s="1">
        <f ca="1"/>
        <v>0.13000000000000012</v>
      </c>
      <c r="P28" s="1">
        <f ca="1"/>
        <v>-1.1499999999999999</v>
      </c>
      <c r="Q28" s="1">
        <f ca="1"/>
        <v>-0.91999999999999993</v>
      </c>
      <c r="R28" s="1">
        <f ca="1"/>
        <v>1.02</v>
      </c>
      <c r="S28" s="1">
        <f ca="1"/>
        <v>1.1800000000000002</v>
      </c>
      <c r="T28" s="1">
        <f ca="1"/>
        <v>-1.25</v>
      </c>
      <c r="U28" s="1">
        <f ca="1"/>
        <v>-0.98999999999999988</v>
      </c>
    </row>
    <row r="29" spans="1:21" x14ac:dyDescent="0.35">
      <c r="A29">
        <v>3</v>
      </c>
      <c r="B29" s="1">
        <f ca="1"/>
        <v>0</v>
      </c>
      <c r="C29" s="1">
        <f ca="1"/>
        <v>0.6</v>
      </c>
      <c r="D29" s="1">
        <f ca="1"/>
        <v>0.59999999999999987</v>
      </c>
      <c r="E29" s="1">
        <f ca="1"/>
        <v>0.50000000000000022</v>
      </c>
      <c r="F29" s="1">
        <f ca="1"/>
        <v>-1.2</v>
      </c>
      <c r="G29" s="1">
        <f ca="1"/>
        <v>-0.59999999999999987</v>
      </c>
      <c r="H29" s="1">
        <f ca="1"/>
        <v>0.1</v>
      </c>
      <c r="I29" s="1">
        <f ca="1"/>
        <v>1.3</v>
      </c>
      <c r="J29" s="1">
        <f ca="1"/>
        <v>-0.9</v>
      </c>
      <c r="K29" s="1">
        <f ca="1"/>
        <v>-1.5</v>
      </c>
      <c r="L29" s="1">
        <f ca="1"/>
        <v>0.86</v>
      </c>
      <c r="M29" s="1">
        <f ca="1"/>
        <v>1.1200000000000001</v>
      </c>
      <c r="N29" s="1">
        <f ca="1"/>
        <v>1</v>
      </c>
      <c r="O29" s="1">
        <f ca="1"/>
        <v>0.12000000000000011</v>
      </c>
      <c r="P29" s="1">
        <f ca="1"/>
        <v>-1.0699999999999998</v>
      </c>
      <c r="Q29" s="1">
        <f ca="1"/>
        <v>-0.92999999999999994</v>
      </c>
      <c r="R29" s="1">
        <f ca="1"/>
        <v>1.03</v>
      </c>
      <c r="S29" s="1">
        <f ca="1"/>
        <v>1.2400000000000002</v>
      </c>
      <c r="T29" s="1">
        <f ca="1"/>
        <v>-1.2400000000000002</v>
      </c>
      <c r="U29" s="1">
        <f ca="1"/>
        <v>-1.04</v>
      </c>
    </row>
    <row r="30" spans="1:21" x14ac:dyDescent="0.35">
      <c r="A30">
        <v>4</v>
      </c>
      <c r="B30" s="1">
        <f ca="1"/>
        <v>1.4</v>
      </c>
      <c r="C30" s="1">
        <f ca="1"/>
        <v>0.99999999999999989</v>
      </c>
      <c r="D30" s="1">
        <f ca="1"/>
        <v>-0.6</v>
      </c>
      <c r="E30" s="1">
        <f ca="1"/>
        <v>0.19999999999999996</v>
      </c>
      <c r="F30" s="1">
        <f ca="1"/>
        <v>-0.8</v>
      </c>
      <c r="G30" s="1">
        <f ca="1"/>
        <v>-0.8</v>
      </c>
      <c r="H30" s="1">
        <f ca="1"/>
        <v>1.5</v>
      </c>
      <c r="I30" s="1">
        <f ca="1"/>
        <v>0.79999999999999993</v>
      </c>
      <c r="J30" s="1">
        <f ca="1"/>
        <v>-2.1</v>
      </c>
      <c r="K30" s="1">
        <f ca="1"/>
        <v>-0.69999999999999984</v>
      </c>
      <c r="L30" s="1">
        <f ca="1"/>
        <v>0.95000000000000007</v>
      </c>
      <c r="M30" s="1">
        <f ca="1"/>
        <v>0</v>
      </c>
      <c r="N30" s="1">
        <f ca="1"/>
        <v>-0.13</v>
      </c>
      <c r="O30" s="1">
        <f ca="1"/>
        <v>7.0000000000000062E-2</v>
      </c>
      <c r="P30" s="1">
        <f ca="1"/>
        <v>-1.06</v>
      </c>
      <c r="Q30" s="1">
        <f ca="1"/>
        <v>-0.8899999999999999</v>
      </c>
      <c r="R30" s="1">
        <f ca="1"/>
        <v>0.96</v>
      </c>
      <c r="S30" s="1">
        <f ca="1"/>
        <v>1.1900000000000002</v>
      </c>
      <c r="T30" s="1">
        <f ca="1"/>
        <v>-1.23</v>
      </c>
      <c r="U30" s="1">
        <f ca="1"/>
        <v>-1.02</v>
      </c>
    </row>
    <row r="31" spans="1:21" x14ac:dyDescent="0.35">
      <c r="A31">
        <v>5</v>
      </c>
      <c r="B31" s="1">
        <f ca="1"/>
        <v>1</v>
      </c>
      <c r="C31" s="1">
        <f ca="1"/>
        <v>0.5</v>
      </c>
      <c r="D31" s="1">
        <f ca="1"/>
        <v>-1</v>
      </c>
      <c r="E31" s="1">
        <f ca="1"/>
        <v>9.9999999999999867E-2</v>
      </c>
      <c r="F31" s="1">
        <f ca="1"/>
        <v>-1.6</v>
      </c>
      <c r="G31" s="1">
        <f ca="1"/>
        <v>-1.3</v>
      </c>
      <c r="H31" s="1">
        <f ca="1"/>
        <v>0.5</v>
      </c>
      <c r="I31" s="1">
        <f ca="1"/>
        <v>0.7</v>
      </c>
      <c r="J31" s="1">
        <f ca="1"/>
        <v>-0.1</v>
      </c>
      <c r="K31" s="1">
        <f ca="1"/>
        <v>-1.2000000000000002</v>
      </c>
      <c r="L31" s="1">
        <f ca="1"/>
        <v>0.94000000000000006</v>
      </c>
      <c r="M31" s="1">
        <f ca="1"/>
        <v>1.0900000000000001</v>
      </c>
      <c r="N31" s="1">
        <f ca="1"/>
        <v>-5.9999999999999942E-2</v>
      </c>
      <c r="O31" s="1">
        <f ca="1"/>
        <v>6.0000000000000053E-2</v>
      </c>
      <c r="P31" s="1">
        <f ca="1"/>
        <v>-1.1099999999999999</v>
      </c>
      <c r="Q31" s="1">
        <f ca="1"/>
        <v>-0.86999999999999988</v>
      </c>
      <c r="R31" s="1">
        <f ca="1"/>
        <v>1.04</v>
      </c>
      <c r="S31" s="1">
        <f ca="1"/>
        <v>1.1700000000000002</v>
      </c>
      <c r="T31" s="1">
        <f ca="1"/>
        <v>-1.1600000000000001</v>
      </c>
      <c r="U31" s="1">
        <f ca="1"/>
        <v>-1.03</v>
      </c>
    </row>
    <row r="32" spans="1:21" x14ac:dyDescent="0.35">
      <c r="A32">
        <v>6</v>
      </c>
      <c r="B32" s="1">
        <f ca="1"/>
        <v>0.60000000000000009</v>
      </c>
      <c r="C32" s="1">
        <f ca="1"/>
        <v>0.89999999999999991</v>
      </c>
      <c r="D32" s="1">
        <f ca="1"/>
        <v>0.99999999999999978</v>
      </c>
      <c r="E32" s="1">
        <f ca="1"/>
        <v>-0.20000000000000007</v>
      </c>
      <c r="F32" s="1">
        <f ca="1"/>
        <v>-1.8</v>
      </c>
      <c r="G32" s="1">
        <f ca="1"/>
        <v>-0.49999999999999978</v>
      </c>
      <c r="H32" s="1">
        <f ca="1"/>
        <v>1.7</v>
      </c>
      <c r="I32" s="1">
        <f ca="1"/>
        <v>1.2</v>
      </c>
      <c r="J32" s="1">
        <f ca="1"/>
        <v>-1.3</v>
      </c>
      <c r="K32" s="1">
        <f ca="1"/>
        <v>-1.0000000000000002</v>
      </c>
      <c r="L32" s="1">
        <f ca="1"/>
        <v>0.92</v>
      </c>
      <c r="M32" s="1">
        <f ca="1"/>
        <v>1.1100000000000001</v>
      </c>
      <c r="N32" s="1">
        <f ca="1"/>
        <v>-0.10999999999999999</v>
      </c>
      <c r="O32" s="1">
        <f ca="1"/>
        <v>5.0000000000000044E-2</v>
      </c>
      <c r="P32" s="1">
        <f ca="1"/>
        <v>-1.1400000000000001</v>
      </c>
      <c r="Q32" s="1">
        <f ca="1"/>
        <v>-0.90999999999999992</v>
      </c>
      <c r="R32" s="1">
        <f ca="1"/>
        <v>0.99</v>
      </c>
      <c r="S32" s="1">
        <f ca="1"/>
        <v>1.2500000000000002</v>
      </c>
      <c r="T32" s="1">
        <f ca="1"/>
        <v>-1.19</v>
      </c>
      <c r="U32" s="1">
        <f ca="1"/>
        <v>-2.1</v>
      </c>
    </row>
    <row r="33" spans="1:21" x14ac:dyDescent="0.35">
      <c r="A33">
        <v>7</v>
      </c>
      <c r="B33" s="1">
        <f ca="1"/>
        <v>1.2</v>
      </c>
      <c r="C33" s="1">
        <f ca="1"/>
        <v>0.79999999999999993</v>
      </c>
      <c r="D33" s="1">
        <f ca="1"/>
        <v>0</v>
      </c>
      <c r="E33" s="1">
        <f ca="1"/>
        <v>0.30000000000000004</v>
      </c>
      <c r="F33" s="1">
        <f ca="1"/>
        <v>-1.4</v>
      </c>
      <c r="G33" s="1">
        <f ca="1"/>
        <v>-1.5</v>
      </c>
      <c r="H33" s="1">
        <f ca="1"/>
        <v>0.70000000000000007</v>
      </c>
      <c r="I33" s="1">
        <f ca="1"/>
        <v>0.99999999999999989</v>
      </c>
      <c r="J33" s="1">
        <f ca="1"/>
        <v>-0.50000000000000011</v>
      </c>
      <c r="K33" s="1">
        <f ca="1"/>
        <v>-0.9</v>
      </c>
      <c r="L33" s="1">
        <f ca="1"/>
        <v>0.93</v>
      </c>
      <c r="M33" s="1">
        <f ca="1"/>
        <v>1.05</v>
      </c>
      <c r="N33" s="1">
        <f ca="1"/>
        <v>-0.15000000000000002</v>
      </c>
      <c r="O33" s="1">
        <f ca="1"/>
        <v>0.15000000000000013</v>
      </c>
      <c r="P33" s="1">
        <f ca="1"/>
        <v>-1.08</v>
      </c>
      <c r="Q33" s="1">
        <f ca="1"/>
        <v>-0.84999999999999987</v>
      </c>
      <c r="R33" s="1">
        <f ca="1"/>
        <v>0.95</v>
      </c>
      <c r="S33" s="1">
        <f ca="1"/>
        <v>0.1</v>
      </c>
      <c r="T33" s="1">
        <f ca="1"/>
        <v>-1.1800000000000002</v>
      </c>
      <c r="U33" s="1">
        <f ca="1"/>
        <v>-1.05</v>
      </c>
    </row>
    <row r="34" spans="1:21" x14ac:dyDescent="0.35">
      <c r="A34">
        <v>8</v>
      </c>
      <c r="B34" s="1">
        <f ca="1"/>
        <v>1.9999999999999998</v>
      </c>
      <c r="C34" s="1">
        <f ca="1"/>
        <v>1.4000000000000001</v>
      </c>
      <c r="D34" s="1">
        <f ca="1"/>
        <v>-0.8</v>
      </c>
      <c r="E34" s="1">
        <f ca="1"/>
        <v>-0.4</v>
      </c>
      <c r="F34" s="1">
        <f ca="1"/>
        <v>-0.20000000000000018</v>
      </c>
      <c r="G34" s="1">
        <f ca="1"/>
        <v>-1.4</v>
      </c>
      <c r="H34" s="1">
        <f ca="1"/>
        <v>0.30000000000000004</v>
      </c>
      <c r="I34" s="1">
        <f ca="1"/>
        <v>1.5000000000000002</v>
      </c>
      <c r="J34" s="1">
        <f ca="1"/>
        <v>-1.5</v>
      </c>
      <c r="K34" s="1">
        <f ca="1"/>
        <v>-0.79999999999999993</v>
      </c>
      <c r="L34" s="1">
        <f ca="1"/>
        <v>2</v>
      </c>
      <c r="M34" s="1">
        <f ca="1"/>
        <v>1.08</v>
      </c>
      <c r="N34" s="1">
        <f ca="1"/>
        <v>-8.9999999999999969E-2</v>
      </c>
      <c r="O34" s="1">
        <f ca="1"/>
        <v>9.000000000000008E-2</v>
      </c>
      <c r="P34" s="1">
        <f ca="1"/>
        <v>-1.1200000000000001</v>
      </c>
      <c r="Q34" s="1">
        <f ca="1"/>
        <v>-0.94</v>
      </c>
      <c r="R34" s="1">
        <f ca="1"/>
        <v>1.05</v>
      </c>
      <c r="S34" s="1">
        <f ca="1"/>
        <v>1.1600000000000001</v>
      </c>
      <c r="T34" s="1">
        <f ca="1"/>
        <v>-1.1499999999999999</v>
      </c>
      <c r="U34" s="1">
        <f ca="1"/>
        <v>-0.94999999999999984</v>
      </c>
    </row>
    <row r="35" spans="1:21" x14ac:dyDescent="0.35">
      <c r="A35">
        <v>9</v>
      </c>
      <c r="B35" s="1">
        <f ca="1"/>
        <v>1.5999999999999999</v>
      </c>
      <c r="C35" s="1">
        <f ca="1"/>
        <v>1.3</v>
      </c>
      <c r="D35" s="1">
        <f ca="1"/>
        <v>0.39999999999999991</v>
      </c>
      <c r="E35" s="1">
        <f ca="1"/>
        <v>-0.10000000000000009</v>
      </c>
      <c r="F35" s="1">
        <f ca="1"/>
        <v>-0.60000000000000009</v>
      </c>
      <c r="G35" s="1">
        <f ca="1"/>
        <v>-0.90000000000000013</v>
      </c>
      <c r="H35" s="1">
        <f ca="1"/>
        <v>1.9</v>
      </c>
      <c r="I35" s="1">
        <f ca="1"/>
        <v>0.89999999999999991</v>
      </c>
      <c r="J35" s="1">
        <f ca="1"/>
        <v>-1.9000000000000001</v>
      </c>
      <c r="K35" s="1">
        <f ca="1"/>
        <v>-1.1000000000000001</v>
      </c>
      <c r="L35" s="1">
        <f ca="1"/>
        <v>0.85</v>
      </c>
      <c r="M35" s="1">
        <f ca="1"/>
        <v>1.06</v>
      </c>
      <c r="N35" s="1">
        <f ca="1"/>
        <v>-7.999999999999996E-2</v>
      </c>
      <c r="O35" s="1">
        <f ca="1"/>
        <v>-1</v>
      </c>
      <c r="P35" s="1">
        <f ca="1"/>
        <v>-1.1299999999999999</v>
      </c>
      <c r="Q35" s="1">
        <f ca="1"/>
        <v>-0.95</v>
      </c>
      <c r="R35" s="1">
        <f ca="1"/>
        <v>2.1</v>
      </c>
      <c r="S35" s="1">
        <f ca="1"/>
        <v>1.2200000000000002</v>
      </c>
      <c r="T35" s="1">
        <f ca="1"/>
        <v>-1.17</v>
      </c>
      <c r="U35" s="1">
        <f ca="1"/>
        <v>-0.96999999999999986</v>
      </c>
    </row>
    <row r="36" spans="1:21" x14ac:dyDescent="0.35">
      <c r="A36">
        <v>10</v>
      </c>
      <c r="B36" s="1">
        <f ca="1"/>
        <v>0.8</v>
      </c>
      <c r="C36" s="1">
        <f ca="1"/>
        <v>1.0999999999999999</v>
      </c>
      <c r="D36" s="1">
        <f ca="1"/>
        <v>0.19999999999999996</v>
      </c>
      <c r="E36" s="1">
        <f ca="1"/>
        <v>-0.30000000000000004</v>
      </c>
      <c r="F36" s="1">
        <f ca="1"/>
        <v>-1</v>
      </c>
      <c r="G36" s="1">
        <f ca="1"/>
        <v>-0.7</v>
      </c>
      <c r="H36" s="1">
        <f ca="1"/>
        <v>1.1000000000000001</v>
      </c>
      <c r="I36" s="1">
        <f ca="1"/>
        <v>1.6000000000000003</v>
      </c>
      <c r="J36" s="1">
        <f ca="1"/>
        <v>-1.7000000000000002</v>
      </c>
      <c r="K36" s="1">
        <f ca="1"/>
        <v>-1.6</v>
      </c>
      <c r="L36" s="1">
        <f ca="1"/>
        <v>0.88</v>
      </c>
      <c r="M36" s="1">
        <f ca="1"/>
        <v>1.1300000000000001</v>
      </c>
      <c r="N36" s="1">
        <f ca="1"/>
        <v>-4.9999999999999933E-2</v>
      </c>
      <c r="O36" s="1">
        <f ca="1"/>
        <v>0.14000000000000012</v>
      </c>
      <c r="P36" s="1">
        <f ca="1"/>
        <v>-1.0899999999999999</v>
      </c>
      <c r="Q36" s="1">
        <f ca="1"/>
        <v>-0.85999999999999988</v>
      </c>
      <c r="R36" s="1">
        <f ca="1"/>
        <v>0.97</v>
      </c>
      <c r="S36" s="1">
        <f ca="1"/>
        <v>1.2300000000000002</v>
      </c>
      <c r="T36" s="1">
        <f ca="1"/>
        <v>-1.21</v>
      </c>
      <c r="U36" s="1">
        <f ca="1"/>
        <v>-1.01</v>
      </c>
    </row>
    <row r="37" spans="1:21" x14ac:dyDescent="0.35">
      <c r="A37">
        <v>11</v>
      </c>
      <c r="B37" s="1">
        <f ca="1"/>
        <v>0.4</v>
      </c>
      <c r="C37" s="1">
        <f ca="1"/>
        <v>1.5000000000000002</v>
      </c>
      <c r="D37" s="1">
        <f ca="1"/>
        <v>0.79999999999999982</v>
      </c>
      <c r="E37" s="1">
        <f ca="1"/>
        <v>0</v>
      </c>
      <c r="F37" s="1">
        <f ca="1"/>
        <v>-0.40000000000000013</v>
      </c>
      <c r="G37" s="1">
        <f ca="1"/>
        <v>-1.2000000000000002</v>
      </c>
      <c r="H37" s="1">
        <f ca="1"/>
        <v>0.9</v>
      </c>
      <c r="I37" s="1">
        <f ca="1"/>
        <v>1.0999999999999999</v>
      </c>
      <c r="J37" s="1">
        <f ca="1"/>
        <v>-0.70000000000000007</v>
      </c>
      <c r="K37" s="1">
        <f ca="1"/>
        <v>-1.4000000000000001</v>
      </c>
      <c r="L37" s="1">
        <f ca="1"/>
        <v>0.87</v>
      </c>
      <c r="M37" s="1">
        <f ca="1"/>
        <v>1.1400000000000001</v>
      </c>
      <c r="N37" s="1">
        <f ca="1"/>
        <v>-0.12</v>
      </c>
      <c r="O37" s="1">
        <f ca="1"/>
        <v>8.0000000000000071E-2</v>
      </c>
      <c r="P37" s="1">
        <f ca="1"/>
        <v>0</v>
      </c>
      <c r="Q37" s="1">
        <f ca="1"/>
        <v>-0.87999999999999989</v>
      </c>
      <c r="R37" s="1">
        <f ca="1"/>
        <v>0.98</v>
      </c>
      <c r="S37" s="1">
        <f ca="1"/>
        <v>1.1500000000000001</v>
      </c>
      <c r="T37" s="1">
        <f ca="1"/>
        <v>-0.1</v>
      </c>
      <c r="U37" s="1">
        <f ca="1"/>
        <v>-0.95999999999999985</v>
      </c>
    </row>
    <row r="39" spans="1:21" x14ac:dyDescent="0.35">
      <c r="A39" t="s">
        <v>2</v>
      </c>
      <c r="B39" s="1">
        <f t="shared" ref="B39:U39" ca="1" si="14">AVERAGE(B27:B37)</f>
        <v>1</v>
      </c>
      <c r="C39" s="1">
        <f t="shared" ca="1" si="14"/>
        <v>1</v>
      </c>
      <c r="D39" s="1">
        <f t="shared" ca="1" si="14"/>
        <v>0</v>
      </c>
      <c r="E39" s="1">
        <f t="shared" ca="1" si="14"/>
        <v>0</v>
      </c>
      <c r="F39" s="1">
        <f t="shared" ca="1" si="14"/>
        <v>-1</v>
      </c>
      <c r="G39" s="1">
        <f t="shared" ca="1" si="14"/>
        <v>-1</v>
      </c>
      <c r="H39" s="1">
        <f t="shared" ca="1" si="14"/>
        <v>1.1000000000000001</v>
      </c>
      <c r="I39" s="1">
        <f t="shared" ca="1" si="14"/>
        <v>1.0999999999999999</v>
      </c>
      <c r="J39" s="1">
        <f t="shared" ca="1" si="14"/>
        <v>-1.0999999999999999</v>
      </c>
      <c r="K39" s="1">
        <f t="shared" ca="1" si="14"/>
        <v>-1.0999999999999999</v>
      </c>
      <c r="L39" s="1">
        <f t="shared" ca="1" si="14"/>
        <v>1</v>
      </c>
      <c r="M39" s="1">
        <f t="shared" ca="1" si="14"/>
        <v>1.0000000000000002</v>
      </c>
      <c r="N39" s="1">
        <f t="shared" ca="1" si="14"/>
        <v>2.0185873175002847E-17</v>
      </c>
      <c r="O39" s="1">
        <f t="shared" ca="1" si="14"/>
        <v>8.0743492700011387E-17</v>
      </c>
      <c r="P39" s="1">
        <f t="shared" ca="1" si="14"/>
        <v>-1</v>
      </c>
      <c r="Q39" s="1">
        <f t="shared" ca="1" si="14"/>
        <v>-0.99999999999999967</v>
      </c>
      <c r="R39" s="1">
        <f t="shared" ca="1" si="14"/>
        <v>1.1000000000000001</v>
      </c>
      <c r="S39" s="1">
        <f t="shared" ca="1" si="14"/>
        <v>1.1000000000000001</v>
      </c>
      <c r="T39" s="1">
        <f t="shared" ca="1" si="14"/>
        <v>-1.0999999999999999</v>
      </c>
      <c r="U39" s="1">
        <f t="shared" ca="1" si="14"/>
        <v>-1.0999999999999999</v>
      </c>
    </row>
    <row r="40" spans="1:21" x14ac:dyDescent="0.35">
      <c r="A40" s="3" t="s">
        <v>3</v>
      </c>
      <c r="B40" s="4">
        <f t="shared" ref="B40:U40" ca="1" si="15">_xlfn.STDEV.P(B27:B37)</f>
        <v>0.63245553203367566</v>
      </c>
      <c r="C40" s="4">
        <f t="shared" ca="1" si="15"/>
        <v>0.3162277660168375</v>
      </c>
      <c r="D40" s="4">
        <f t="shared" ca="1" si="15"/>
        <v>0.63245553203367577</v>
      </c>
      <c r="E40" s="4">
        <f t="shared" ca="1" si="15"/>
        <v>0.316227766016838</v>
      </c>
      <c r="F40" s="4">
        <f t="shared" ca="1" si="15"/>
        <v>0.63245553203367588</v>
      </c>
      <c r="G40" s="4">
        <f t="shared" ca="1" si="15"/>
        <v>0.31622776601683822</v>
      </c>
      <c r="H40" s="4">
        <f t="shared" ca="1" si="15"/>
        <v>0.63245553203367555</v>
      </c>
      <c r="I40" s="4">
        <f t="shared" ca="1" si="15"/>
        <v>0.31622776601683822</v>
      </c>
      <c r="J40" s="4">
        <f t="shared" ca="1" si="15"/>
        <v>0.63245553203367633</v>
      </c>
      <c r="K40" s="4">
        <f t="shared" ca="1" si="15"/>
        <v>0.31622776601683861</v>
      </c>
      <c r="L40" s="1">
        <f t="shared" ca="1" si="15"/>
        <v>0.31780497164141414</v>
      </c>
      <c r="M40" s="1">
        <f t="shared" ca="1" si="15"/>
        <v>0.31780497164141391</v>
      </c>
      <c r="N40" s="1">
        <f t="shared" ca="1" si="15"/>
        <v>0.31780497164141402</v>
      </c>
      <c r="O40" s="1">
        <f t="shared" ca="1" si="15"/>
        <v>0.31780497164141408</v>
      </c>
      <c r="P40" s="1">
        <f t="shared" ca="1" si="15"/>
        <v>0.31780497164141375</v>
      </c>
      <c r="Q40" s="1">
        <f t="shared" ca="1" si="15"/>
        <v>0.31780497164141486</v>
      </c>
      <c r="R40" s="1">
        <f t="shared" ca="1" si="15"/>
        <v>0.31780497164141375</v>
      </c>
      <c r="S40" s="1">
        <f t="shared" ca="1" si="15"/>
        <v>0.31780497164141414</v>
      </c>
      <c r="T40" s="1">
        <f t="shared" ca="1" si="15"/>
        <v>0.31780497164141414</v>
      </c>
      <c r="U40" s="1">
        <f t="shared" ca="1" si="15"/>
        <v>0.31780497164141375</v>
      </c>
    </row>
    <row r="41" spans="1:21" x14ac:dyDescent="0.35">
      <c r="A41" t="s">
        <v>4</v>
      </c>
      <c r="B41" s="1">
        <f t="shared" ref="B41:U41" ca="1" si="16">_xlfn.SKEW.P(B27:B37)</f>
        <v>-3.7343865373755267E-16</v>
      </c>
      <c r="C41" s="1">
        <f t="shared" ca="1" si="16"/>
        <v>5.2483270255007403E-16</v>
      </c>
      <c r="D41" s="1">
        <f t="shared" ca="1" si="16"/>
        <v>4.0371746350005693E-17</v>
      </c>
      <c r="E41" s="1">
        <f t="shared" ca="1" si="16"/>
        <v>4.8446095620006827E-16</v>
      </c>
      <c r="F41" s="1">
        <f t="shared" ca="1" si="16"/>
        <v>-3.1288103421254413E-16</v>
      </c>
      <c r="G41" s="1">
        <f t="shared" ca="1" si="16"/>
        <v>6.8631968795009675E-16</v>
      </c>
      <c r="H41" s="1">
        <f t="shared" ca="1" si="16"/>
        <v>-8.0175765016964431E-16</v>
      </c>
      <c r="I41" s="1">
        <f t="shared" ca="1" si="16"/>
        <v>2.2608177956003187E-15</v>
      </c>
      <c r="J41" s="1">
        <f t="shared" ca="1" si="16"/>
        <v>-1.1253624295064087E-15</v>
      </c>
      <c r="K41" s="1">
        <f t="shared" ca="1" si="16"/>
        <v>-8.1752786358761523E-16</v>
      </c>
      <c r="L41" s="4">
        <f t="shared" ca="1" si="16"/>
        <v>2.7945403348921536</v>
      </c>
      <c r="M41" s="4">
        <f t="shared" ca="1" si="16"/>
        <v>-2.7945403348921536</v>
      </c>
      <c r="N41" s="4">
        <f t="shared" ca="1" si="16"/>
        <v>2.7945403348921531</v>
      </c>
      <c r="O41" s="4">
        <f t="shared" ca="1" si="16"/>
        <v>-2.7945403348921518</v>
      </c>
      <c r="P41" s="4">
        <f t="shared" ca="1" si="16"/>
        <v>2.7945403348921518</v>
      </c>
      <c r="Q41" s="4">
        <f t="shared" ca="1" si="16"/>
        <v>-2.7945403348921549</v>
      </c>
      <c r="R41" s="4">
        <f t="shared" ca="1" si="16"/>
        <v>2.7945403348921518</v>
      </c>
      <c r="S41" s="4">
        <f t="shared" ca="1" si="16"/>
        <v>-2.7945403348921518</v>
      </c>
      <c r="T41" s="4">
        <f t="shared" ca="1" si="16"/>
        <v>2.7945403348921505</v>
      </c>
      <c r="U41" s="4">
        <f t="shared" ca="1" si="16"/>
        <v>-2.794540334892154</v>
      </c>
    </row>
    <row r="42" spans="1:21" x14ac:dyDescent="0.35">
      <c r="A42" t="s">
        <v>5</v>
      </c>
      <c r="B42" s="1">
        <f t="shared" ref="B42:U42" ca="1" si="17">KURT(B27:B37)</f>
        <v>-1.2000000000000011</v>
      </c>
      <c r="C42" s="1">
        <f t="shared" ca="1" si="17"/>
        <v>-1.200000000000002</v>
      </c>
      <c r="D42" s="1">
        <f t="shared" ca="1" si="17"/>
        <v>-1.1999999999999984</v>
      </c>
      <c r="E42" s="1">
        <f t="shared" ca="1" si="17"/>
        <v>-1.2000000000000015</v>
      </c>
      <c r="F42" s="1">
        <f t="shared" ca="1" si="17"/>
        <v>-1.1999999999999997</v>
      </c>
      <c r="G42" s="1">
        <f t="shared" ca="1" si="17"/>
        <v>-1.1999999999999997</v>
      </c>
      <c r="H42" s="1">
        <f t="shared" ca="1" si="17"/>
        <v>-1.2000000000000015</v>
      </c>
      <c r="I42" s="1">
        <f t="shared" ca="1" si="17"/>
        <v>-1.2000000000000011</v>
      </c>
      <c r="J42" s="1">
        <f t="shared" ca="1" si="17"/>
        <v>-1.2000000000000015</v>
      </c>
      <c r="K42" s="1">
        <f t="shared" ca="1" si="17"/>
        <v>-1.2000000000000002</v>
      </c>
      <c r="L42" s="1">
        <f t="shared" ca="1" si="17"/>
        <v>10.711250530993706</v>
      </c>
      <c r="M42" s="1">
        <f t="shared" ca="1" si="17"/>
        <v>10.711250530993702</v>
      </c>
      <c r="N42" s="1">
        <f t="shared" ca="1" si="17"/>
        <v>10.711250530993706</v>
      </c>
      <c r="O42" s="1">
        <f t="shared" ca="1" si="17"/>
        <v>10.711250530993688</v>
      </c>
      <c r="P42" s="1">
        <f t="shared" ca="1" si="17"/>
        <v>10.711250530993684</v>
      </c>
      <c r="Q42" s="1">
        <f t="shared" ca="1" si="17"/>
        <v>10.711250530993706</v>
      </c>
      <c r="R42" s="1">
        <f t="shared" ca="1" si="17"/>
        <v>10.711250530993688</v>
      </c>
      <c r="S42" s="1">
        <f t="shared" ca="1" si="17"/>
        <v>10.711250530993684</v>
      </c>
      <c r="T42" s="1">
        <f t="shared" ca="1" si="17"/>
        <v>10.711250530993684</v>
      </c>
      <c r="U42" s="1">
        <f t="shared" ca="1" si="17"/>
        <v>10.711250530993702</v>
      </c>
    </row>
    <row r="43" spans="1:21" x14ac:dyDescent="0.35">
      <c r="A43" t="s">
        <v>14</v>
      </c>
      <c r="B43" s="1">
        <f t="shared" ref="B43:U43" ca="1" si="18">MIN(B27:B37)</f>
        <v>0</v>
      </c>
      <c r="C43" s="1">
        <f t="shared" ca="1" si="18"/>
        <v>0.5</v>
      </c>
      <c r="D43" s="1">
        <f t="shared" ca="1" si="18"/>
        <v>-1</v>
      </c>
      <c r="E43" s="1">
        <f t="shared" ca="1" si="18"/>
        <v>-0.5</v>
      </c>
      <c r="F43" s="1">
        <f t="shared" ca="1" si="18"/>
        <v>-2</v>
      </c>
      <c r="G43" s="1">
        <f t="shared" ca="1" si="18"/>
        <v>-1.5</v>
      </c>
      <c r="H43" s="1">
        <f t="shared" ca="1" si="18"/>
        <v>0.1</v>
      </c>
      <c r="I43" s="1">
        <f t="shared" ca="1" si="18"/>
        <v>0.6</v>
      </c>
      <c r="J43" s="1">
        <f t="shared" ca="1" si="18"/>
        <v>-2.1</v>
      </c>
      <c r="K43" s="1">
        <f t="shared" ca="1" si="18"/>
        <v>-1.6</v>
      </c>
      <c r="L43" s="1">
        <f t="shared" ca="1" si="18"/>
        <v>0.85</v>
      </c>
      <c r="M43" s="1">
        <f t="shared" ca="1" si="18"/>
        <v>0</v>
      </c>
      <c r="N43" s="1">
        <f t="shared" ca="1" si="18"/>
        <v>-0.15000000000000002</v>
      </c>
      <c r="O43" s="1">
        <f t="shared" ca="1" si="18"/>
        <v>-1</v>
      </c>
      <c r="P43" s="1">
        <f t="shared" ca="1" si="18"/>
        <v>-1.1499999999999999</v>
      </c>
      <c r="Q43" s="1">
        <f t="shared" ca="1" si="18"/>
        <v>-2</v>
      </c>
      <c r="R43" s="1">
        <f t="shared" ca="1" si="18"/>
        <v>0.95</v>
      </c>
      <c r="S43" s="1">
        <f t="shared" ca="1" si="18"/>
        <v>0.1</v>
      </c>
      <c r="T43" s="1">
        <f t="shared" ca="1" si="18"/>
        <v>-1.25</v>
      </c>
      <c r="U43" s="1">
        <f t="shared" ca="1" si="18"/>
        <v>-2.1</v>
      </c>
    </row>
    <row r="44" spans="1:21" x14ac:dyDescent="0.35">
      <c r="A44" t="s">
        <v>15</v>
      </c>
      <c r="B44" s="1">
        <f t="shared" ref="B44:U44" ca="1" si="19">MAX(B27:B37)</f>
        <v>1.9999999999999998</v>
      </c>
      <c r="C44" s="1">
        <f t="shared" ca="1" si="19"/>
        <v>1.5000000000000002</v>
      </c>
      <c r="D44" s="1">
        <f t="shared" ca="1" si="19"/>
        <v>0.99999999999999978</v>
      </c>
      <c r="E44" s="1">
        <f t="shared" ca="1" si="19"/>
        <v>0.50000000000000022</v>
      </c>
      <c r="F44" s="1">
        <f t="shared" ca="1" si="19"/>
        <v>0</v>
      </c>
      <c r="G44" s="1">
        <f t="shared" ca="1" si="19"/>
        <v>-0.49999999999999978</v>
      </c>
      <c r="H44" s="1">
        <f t="shared" ca="1" si="19"/>
        <v>2.0999999999999996</v>
      </c>
      <c r="I44" s="1">
        <f t="shared" ca="1" si="19"/>
        <v>1.6000000000000003</v>
      </c>
      <c r="J44" s="1">
        <f t="shared" ca="1" si="19"/>
        <v>-0.1</v>
      </c>
      <c r="K44" s="1">
        <f t="shared" ca="1" si="19"/>
        <v>-0.59999999999999976</v>
      </c>
      <c r="L44" s="1">
        <f t="shared" ca="1" si="19"/>
        <v>2</v>
      </c>
      <c r="M44" s="1">
        <f t="shared" ca="1" si="19"/>
        <v>1.1500000000000001</v>
      </c>
      <c r="N44" s="1">
        <f t="shared" ca="1" si="19"/>
        <v>1</v>
      </c>
      <c r="O44" s="1">
        <f t="shared" ca="1" si="19"/>
        <v>0.15000000000000013</v>
      </c>
      <c r="P44" s="1">
        <f t="shared" ca="1" si="19"/>
        <v>0</v>
      </c>
      <c r="Q44" s="1">
        <f t="shared" ca="1" si="19"/>
        <v>-0.84999999999999987</v>
      </c>
      <c r="R44" s="1">
        <f t="shared" ca="1" si="19"/>
        <v>2.1</v>
      </c>
      <c r="S44" s="1">
        <f t="shared" ca="1" si="19"/>
        <v>1.2500000000000002</v>
      </c>
      <c r="T44" s="1">
        <f t="shared" ca="1" si="19"/>
        <v>-0.1</v>
      </c>
      <c r="U44" s="1">
        <f t="shared" ca="1" si="19"/>
        <v>-0.94999999999999984</v>
      </c>
    </row>
    <row r="45" spans="1:21" x14ac:dyDescent="0.35">
      <c r="A45" t="s">
        <v>16</v>
      </c>
      <c r="B45" s="1">
        <f ca="1">CORREL(B27:B37,C27:C37)</f>
        <v>0.11818181818181814</v>
      </c>
      <c r="D45" s="1">
        <f ca="1">CORREL(D27:D37,E27:E37)</f>
        <v>0.10000000000000009</v>
      </c>
      <c r="F45" s="1">
        <f ca="1">CORREL(F27:F37,G27:G37)</f>
        <v>-0.25454545454545463</v>
      </c>
      <c r="H45" s="1">
        <f ca="1">CORREL(H27:H37,I27:I37)</f>
        <v>-0.40909090909090889</v>
      </c>
      <c r="J45" s="1">
        <f ca="1">CORREL(J27:J37,K27:K37)</f>
        <v>-9.090909090909146E-3</v>
      </c>
      <c r="L45" s="1">
        <f ca="1">CORREL(L27:L37,M27:M37)</f>
        <v>2.6912691269126855E-2</v>
      </c>
      <c r="N45" s="1">
        <f ca="1">CORREL(N27:N37,O27:O37)</f>
        <v>9.7839783978397848E-2</v>
      </c>
      <c r="P45" s="1">
        <f ca="1">CORREL(P27:P37,Q27:Q37)</f>
        <v>7.3177317731773051E-2</v>
      </c>
      <c r="R45" s="1">
        <f ca="1">CORREL(R27:R37,S27:S37)</f>
        <v>0.16624662466246631</v>
      </c>
      <c r="T45" s="1">
        <f ca="1">CORREL(T27:T37,U27:U37)</f>
        <v>0.13105310531053105</v>
      </c>
    </row>
    <row r="46" spans="1:21" x14ac:dyDescent="0.35">
      <c r="A46" t="s">
        <v>17</v>
      </c>
      <c r="B46" cm="1">
        <f t="array" aca="1" ref="B46" ca="1">SUMPRODUCT((B27:B37&gt;C27:C37)*1)</f>
        <v>6</v>
      </c>
      <c r="C46" cm="1">
        <f t="array" aca="1" ref="C46" ca="1">SUMPRODUCT((B27:B37&lt;C27:C37)*1)</f>
        <v>5</v>
      </c>
      <c r="D46" cm="1">
        <f t="array" aca="1" ref="D46" ca="1">SUMPRODUCT((D27:D37&gt;E27:E37)*1)</f>
        <v>6</v>
      </c>
      <c r="E46" cm="1">
        <f t="array" aca="1" ref="E46" ca="1">SUMPRODUCT((D27:D37&lt;E27:E37)*1)</f>
        <v>5</v>
      </c>
      <c r="F46" cm="1">
        <f t="array" aca="1" ref="F46" ca="1">SUMPRODUCT((F27:F37&gt;G27:G37)*1)</f>
        <v>5</v>
      </c>
      <c r="G46" cm="1">
        <f t="array" aca="1" ref="G46" ca="1">SUMPRODUCT((F27:F37&lt;G27:G37)*1)</f>
        <v>5</v>
      </c>
      <c r="H46" cm="1">
        <f t="array" aca="1" ref="H46" ca="1">SUMPRODUCT((H27:H37&gt;I27:I37)*1)</f>
        <v>4</v>
      </c>
      <c r="I46" cm="1">
        <f t="array" aca="1" ref="I46" ca="1">SUMPRODUCT((H27:H37&lt;I27:I37)*1)</f>
        <v>7</v>
      </c>
      <c r="J46" cm="1">
        <f t="array" aca="1" ref="J46" ca="1">SUMPRODUCT((J27:J37&gt;K27:K37)*1)</f>
        <v>6</v>
      </c>
      <c r="K46" cm="1">
        <f t="array" aca="1" ref="K46" ca="1">SUMPRODUCT((J27:J37&lt;K27:K37)*1)</f>
        <v>5</v>
      </c>
      <c r="L46" cm="1">
        <f t="array" aca="1" ref="L46" ca="1">SUMPRODUCT((L27:L37&gt;M27:M37)*1)</f>
        <v>2</v>
      </c>
      <c r="M46" cm="1">
        <f t="array" aca="1" ref="M46" ca="1">SUMPRODUCT((L27:L37&lt;M27:M37)*1)</f>
        <v>9</v>
      </c>
      <c r="N46" cm="1">
        <f t="array" aca="1" ref="N46" ca="1">SUMPRODUCT((N27:N37&gt;O27:O37)*1)</f>
        <v>2</v>
      </c>
      <c r="O46" cm="1">
        <f t="array" aca="1" ref="O46" ca="1">SUMPRODUCT((N27:N37&lt;O27:O37)*1)</f>
        <v>9</v>
      </c>
      <c r="P46" cm="1">
        <f t="array" aca="1" ref="P46" ca="1">SUMPRODUCT((P27:P37&gt;Q27:Q37)*1)</f>
        <v>2</v>
      </c>
      <c r="Q46" cm="1">
        <f t="array" aca="1" ref="Q46" ca="1">SUMPRODUCT((P27:P37&lt;Q27:Q37)*1)</f>
        <v>9</v>
      </c>
      <c r="R46" cm="1">
        <f t="array" aca="1" ref="R46" ca="1">SUMPRODUCT((R27:R37&gt;S27:S37)*1)</f>
        <v>2</v>
      </c>
      <c r="S46" cm="1">
        <f t="array" aca="1" ref="S46" ca="1">SUMPRODUCT((R27:R37&lt;S27:S37)*1)</f>
        <v>9</v>
      </c>
      <c r="T46" cm="1">
        <f t="array" aca="1" ref="T46" ca="1">SUMPRODUCT((T27:T37&gt;U27:U37)*1)</f>
        <v>2</v>
      </c>
      <c r="U46" cm="1">
        <f t="array" aca="1" ref="U46" ca="1">SUMPRODUCT((T27:T37&lt;U27:U37)*1)</f>
        <v>9</v>
      </c>
    </row>
    <row r="47" spans="1:21" x14ac:dyDescent="0.35">
      <c r="A47" s="5" t="s">
        <v>20</v>
      </c>
      <c r="B47" s="6" t="str">
        <f ca="1">IF(B46&gt;C46,"A",IF(C46&gt;B46,"B","Equal"))</f>
        <v>A</v>
      </c>
      <c r="D47" s="6" t="str">
        <f ca="1">IF(D46&gt;E46,"A",IF(E46&gt;D46,"B","Equal"))</f>
        <v>A</v>
      </c>
      <c r="F47" s="6" t="str">
        <f ca="1">IF(F46&gt;G46,"A",IF(G46&gt;F46,"B","Equal"))</f>
        <v>Equal</v>
      </c>
      <c r="H47" s="6" t="str">
        <f ca="1">IF(H46&gt;I46,"A",IF(I46&gt;H46,"B","Equal"))</f>
        <v>B</v>
      </c>
      <c r="J47" s="6" t="str">
        <f ca="1">IF(J46&gt;K46,"A",IF(K46&gt;J46,"B","Equal"))</f>
        <v>A</v>
      </c>
      <c r="L47" s="6" t="str">
        <f ca="1">IF(L46&gt;M46,"A",IF(M46&gt;L46,"B","Equal"))</f>
        <v>B</v>
      </c>
      <c r="N47" s="6" t="str">
        <f ca="1">IF(N46&gt;O46,"A",IF(O46&gt;N46,"B","Equal"))</f>
        <v>B</v>
      </c>
      <c r="P47" s="6" t="str">
        <f ca="1">IF(P46&gt;Q46,"A",IF(Q46&gt;P46,"B","Equal"))</f>
        <v>B</v>
      </c>
      <c r="R47" s="6" t="str">
        <f ca="1">IF(R46&gt;S46,"A",IF(S46&gt;R46,"B","Equal"))</f>
        <v>B</v>
      </c>
      <c r="T47" s="6" t="str">
        <f ca="1">IF(T46&gt;U46,"A",IF(U46&gt;T46,"B","Equal"))</f>
        <v>B</v>
      </c>
    </row>
    <row r="48" spans="1:21" x14ac:dyDescent="0.35">
      <c r="A48" t="s">
        <v>19</v>
      </c>
      <c r="B48">
        <f ca="1">MAX(B46:C46)</f>
        <v>6</v>
      </c>
      <c r="D48">
        <f ca="1">MAX(D46:E46)</f>
        <v>6</v>
      </c>
      <c r="F48">
        <f ca="1">MAX(F46:G46)</f>
        <v>5</v>
      </c>
      <c r="H48">
        <f ca="1">MAX(H46:I46)</f>
        <v>7</v>
      </c>
      <c r="J48">
        <f ca="1">MAX(J46:K46)</f>
        <v>6</v>
      </c>
      <c r="L48">
        <f ca="1">MAX(L46:M46)</f>
        <v>9</v>
      </c>
      <c r="N48">
        <f ca="1">MAX(N46:O46)</f>
        <v>9</v>
      </c>
      <c r="P48">
        <f ca="1">MAX(P46:Q46)</f>
        <v>9</v>
      </c>
      <c r="R48">
        <f ca="1">MAX(R46:S46)</f>
        <v>9</v>
      </c>
      <c r="T48">
        <f ca="1">MAX(T46:U46)</f>
        <v>9</v>
      </c>
    </row>
  </sheetData>
  <mergeCells count="20">
    <mergeCell ref="L26:M26"/>
    <mergeCell ref="B2:C2"/>
    <mergeCell ref="D2:E2"/>
    <mergeCell ref="F2:G2"/>
    <mergeCell ref="H2:I2"/>
    <mergeCell ref="J2:K2"/>
    <mergeCell ref="L2:M2"/>
    <mergeCell ref="B26:C26"/>
    <mergeCell ref="D26:E26"/>
    <mergeCell ref="F26:G26"/>
    <mergeCell ref="H26:I26"/>
    <mergeCell ref="J26:K26"/>
    <mergeCell ref="N26:O26"/>
    <mergeCell ref="P26:Q26"/>
    <mergeCell ref="R26:S26"/>
    <mergeCell ref="T26:U26"/>
    <mergeCell ref="N2:O2"/>
    <mergeCell ref="P2:Q2"/>
    <mergeCell ref="R2:S2"/>
    <mergeCell ref="T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AFBDA-D1FE-4446-949A-80630D238D1D}">
  <dimension ref="A2:K21"/>
  <sheetViews>
    <sheetView workbookViewId="0">
      <selection activeCell="A2" sqref="A2:K21"/>
    </sheetView>
  </sheetViews>
  <sheetFormatPr defaultRowHeight="14.5" x14ac:dyDescent="0.35"/>
  <sheetData>
    <row r="2" spans="1:11" s="2" customFormat="1" x14ac:dyDescent="0.35">
      <c r="B2" s="7" t="s">
        <v>9</v>
      </c>
      <c r="C2" s="7"/>
      <c r="D2" s="7" t="s">
        <v>10</v>
      </c>
      <c r="E2" s="7"/>
      <c r="F2" s="7" t="s">
        <v>11</v>
      </c>
      <c r="G2" s="7"/>
      <c r="H2" s="7" t="s">
        <v>12</v>
      </c>
      <c r="I2" s="7"/>
      <c r="J2" s="7" t="s">
        <v>13</v>
      </c>
      <c r="K2" s="7"/>
    </row>
    <row r="3" spans="1:11" x14ac:dyDescent="0.35">
      <c r="B3" s="1">
        <v>0</v>
      </c>
      <c r="C3" s="1">
        <v>0.5</v>
      </c>
      <c r="D3" s="1">
        <f>B3-1</f>
        <v>-1</v>
      </c>
      <c r="E3" s="1">
        <f>C3-1</f>
        <v>-0.5</v>
      </c>
      <c r="F3" s="1">
        <f>B3-2</f>
        <v>-2</v>
      </c>
      <c r="G3" s="1">
        <f>C3-2</f>
        <v>-1.5</v>
      </c>
      <c r="H3" s="1">
        <f>B3+0.1</f>
        <v>0.1</v>
      </c>
      <c r="I3" s="1">
        <f>C3+0.1</f>
        <v>0.6</v>
      </c>
      <c r="J3" s="1">
        <f>F3-0.1</f>
        <v>-2.1</v>
      </c>
      <c r="K3" s="1">
        <f>G3-0.1</f>
        <v>-1.6</v>
      </c>
    </row>
    <row r="4" spans="1:11" x14ac:dyDescent="0.35">
      <c r="B4" s="1">
        <v>0.2</v>
      </c>
      <c r="C4" s="1">
        <v>0.6</v>
      </c>
      <c r="D4" s="1">
        <f t="shared" ref="D4:E13" si="0">B4-1</f>
        <v>-0.8</v>
      </c>
      <c r="E4" s="1">
        <f t="shared" si="0"/>
        <v>-0.4</v>
      </c>
      <c r="F4" s="1">
        <f t="shared" ref="F4:G13" si="1">B4-2</f>
        <v>-1.8</v>
      </c>
      <c r="G4" s="1">
        <f t="shared" si="1"/>
        <v>-1.4</v>
      </c>
      <c r="H4" s="1">
        <f t="shared" ref="H4:I13" si="2">B4+0.1</f>
        <v>0.30000000000000004</v>
      </c>
      <c r="I4" s="1">
        <f t="shared" si="2"/>
        <v>0.7</v>
      </c>
      <c r="J4" s="1">
        <f t="shared" ref="J4:J13" si="3">F4-0.1</f>
        <v>-1.9000000000000001</v>
      </c>
      <c r="K4" s="1">
        <f t="shared" ref="K4:K13" si="4">G4-0.1</f>
        <v>-1.5</v>
      </c>
    </row>
    <row r="5" spans="1:11" x14ac:dyDescent="0.35">
      <c r="B5" s="1">
        <v>0.4</v>
      </c>
      <c r="C5" s="1">
        <v>0.7</v>
      </c>
      <c r="D5" s="1">
        <f t="shared" si="0"/>
        <v>-0.6</v>
      </c>
      <c r="E5" s="1">
        <f t="shared" si="0"/>
        <v>-0.30000000000000004</v>
      </c>
      <c r="F5" s="1">
        <f t="shared" si="1"/>
        <v>-1.6</v>
      </c>
      <c r="G5" s="1">
        <f t="shared" si="1"/>
        <v>-1.3</v>
      </c>
      <c r="H5" s="1">
        <f t="shared" si="2"/>
        <v>0.5</v>
      </c>
      <c r="I5" s="1">
        <f t="shared" si="2"/>
        <v>0.79999999999999993</v>
      </c>
      <c r="J5" s="1">
        <f t="shared" si="3"/>
        <v>-1.7000000000000002</v>
      </c>
      <c r="K5" s="1">
        <f t="shared" si="4"/>
        <v>-1.4000000000000001</v>
      </c>
    </row>
    <row r="6" spans="1:11" x14ac:dyDescent="0.35">
      <c r="B6" s="1">
        <v>0.60000000000000009</v>
      </c>
      <c r="C6" s="1">
        <v>0.79999999999999993</v>
      </c>
      <c r="D6" s="1">
        <f t="shared" si="0"/>
        <v>-0.39999999999999991</v>
      </c>
      <c r="E6" s="1">
        <f t="shared" si="0"/>
        <v>-0.20000000000000007</v>
      </c>
      <c r="F6" s="1">
        <f t="shared" si="1"/>
        <v>-1.4</v>
      </c>
      <c r="G6" s="1">
        <f t="shared" si="1"/>
        <v>-1.2000000000000002</v>
      </c>
      <c r="H6" s="1">
        <f t="shared" si="2"/>
        <v>0.70000000000000007</v>
      </c>
      <c r="I6" s="1">
        <f t="shared" si="2"/>
        <v>0.89999999999999991</v>
      </c>
      <c r="J6" s="1">
        <f t="shared" si="3"/>
        <v>-1.5</v>
      </c>
      <c r="K6" s="1">
        <f t="shared" si="4"/>
        <v>-1.3000000000000003</v>
      </c>
    </row>
    <row r="7" spans="1:11" x14ac:dyDescent="0.35">
      <c r="B7" s="1">
        <v>0.8</v>
      </c>
      <c r="C7" s="1">
        <v>0.89999999999999991</v>
      </c>
      <c r="D7" s="1">
        <f t="shared" si="0"/>
        <v>-0.19999999999999996</v>
      </c>
      <c r="E7" s="1">
        <f t="shared" si="0"/>
        <v>-0.10000000000000009</v>
      </c>
      <c r="F7" s="1">
        <f t="shared" si="1"/>
        <v>-1.2</v>
      </c>
      <c r="G7" s="1">
        <f t="shared" si="1"/>
        <v>-1.1000000000000001</v>
      </c>
      <c r="H7" s="1">
        <f t="shared" si="2"/>
        <v>0.9</v>
      </c>
      <c r="I7" s="1">
        <f t="shared" si="2"/>
        <v>0.99999999999999989</v>
      </c>
      <c r="J7" s="1">
        <f t="shared" si="3"/>
        <v>-1.3</v>
      </c>
      <c r="K7" s="1">
        <f t="shared" si="4"/>
        <v>-1.2000000000000002</v>
      </c>
    </row>
    <row r="8" spans="1:11" x14ac:dyDescent="0.35">
      <c r="B8" s="1">
        <v>1</v>
      </c>
      <c r="C8" s="1">
        <v>0.99999999999999989</v>
      </c>
      <c r="D8" s="1">
        <f t="shared" si="0"/>
        <v>0</v>
      </c>
      <c r="E8" s="1">
        <f t="shared" si="0"/>
        <v>0</v>
      </c>
      <c r="F8" s="1">
        <f t="shared" si="1"/>
        <v>-1</v>
      </c>
      <c r="G8" s="1">
        <f t="shared" si="1"/>
        <v>-1</v>
      </c>
      <c r="H8" s="1">
        <f t="shared" si="2"/>
        <v>1.1000000000000001</v>
      </c>
      <c r="I8" s="1">
        <f t="shared" si="2"/>
        <v>1.0999999999999999</v>
      </c>
      <c r="J8" s="1">
        <f t="shared" si="3"/>
        <v>-1.1000000000000001</v>
      </c>
      <c r="K8" s="1">
        <f t="shared" si="4"/>
        <v>-1.1000000000000001</v>
      </c>
    </row>
    <row r="9" spans="1:11" x14ac:dyDescent="0.35">
      <c r="B9" s="1">
        <v>1.2</v>
      </c>
      <c r="C9" s="1">
        <v>1.0999999999999999</v>
      </c>
      <c r="D9" s="1">
        <f t="shared" si="0"/>
        <v>0.19999999999999996</v>
      </c>
      <c r="E9" s="1">
        <f t="shared" si="0"/>
        <v>9.9999999999999867E-2</v>
      </c>
      <c r="F9" s="1">
        <f t="shared" si="1"/>
        <v>-0.8</v>
      </c>
      <c r="G9" s="1">
        <f t="shared" si="1"/>
        <v>-0.90000000000000013</v>
      </c>
      <c r="H9" s="1">
        <f t="shared" si="2"/>
        <v>1.3</v>
      </c>
      <c r="I9" s="1">
        <f t="shared" si="2"/>
        <v>1.2</v>
      </c>
      <c r="J9" s="1">
        <f t="shared" si="3"/>
        <v>-0.9</v>
      </c>
      <c r="K9" s="1">
        <f t="shared" si="4"/>
        <v>-1.0000000000000002</v>
      </c>
    </row>
    <row r="10" spans="1:11" x14ac:dyDescent="0.35">
      <c r="B10" s="1">
        <v>1.4</v>
      </c>
      <c r="C10" s="1">
        <v>1.2</v>
      </c>
      <c r="D10" s="1">
        <f t="shared" si="0"/>
        <v>0.39999999999999991</v>
      </c>
      <c r="E10" s="1">
        <f t="shared" si="0"/>
        <v>0.19999999999999996</v>
      </c>
      <c r="F10" s="1">
        <f t="shared" si="1"/>
        <v>-0.60000000000000009</v>
      </c>
      <c r="G10" s="1">
        <f t="shared" si="1"/>
        <v>-0.8</v>
      </c>
      <c r="H10" s="1">
        <f t="shared" si="2"/>
        <v>1.5</v>
      </c>
      <c r="I10" s="1">
        <f t="shared" si="2"/>
        <v>1.3</v>
      </c>
      <c r="J10" s="1">
        <f t="shared" si="3"/>
        <v>-0.70000000000000007</v>
      </c>
      <c r="K10" s="1">
        <f t="shared" si="4"/>
        <v>-0.9</v>
      </c>
    </row>
    <row r="11" spans="1:11" x14ac:dyDescent="0.35">
      <c r="B11" s="1">
        <v>1.5999999999999999</v>
      </c>
      <c r="C11" s="1">
        <v>1.3</v>
      </c>
      <c r="D11" s="1">
        <f t="shared" si="0"/>
        <v>0.59999999999999987</v>
      </c>
      <c r="E11" s="1">
        <f t="shared" si="0"/>
        <v>0.30000000000000004</v>
      </c>
      <c r="F11" s="1">
        <f t="shared" si="1"/>
        <v>-0.40000000000000013</v>
      </c>
      <c r="G11" s="1">
        <f t="shared" si="1"/>
        <v>-0.7</v>
      </c>
      <c r="H11" s="1">
        <f t="shared" si="2"/>
        <v>1.7</v>
      </c>
      <c r="I11" s="1">
        <f t="shared" si="2"/>
        <v>1.4000000000000001</v>
      </c>
      <c r="J11" s="1">
        <f t="shared" si="3"/>
        <v>-0.50000000000000011</v>
      </c>
      <c r="K11" s="1">
        <f t="shared" si="4"/>
        <v>-0.79999999999999993</v>
      </c>
    </row>
    <row r="12" spans="1:11" x14ac:dyDescent="0.35">
      <c r="B12" s="1">
        <v>1.7999999999999998</v>
      </c>
      <c r="C12" s="1">
        <v>1.4000000000000001</v>
      </c>
      <c r="D12" s="1">
        <f t="shared" si="0"/>
        <v>0.79999999999999982</v>
      </c>
      <c r="E12" s="1">
        <f t="shared" si="0"/>
        <v>0.40000000000000013</v>
      </c>
      <c r="F12" s="1">
        <f t="shared" si="1"/>
        <v>-0.20000000000000018</v>
      </c>
      <c r="G12" s="1">
        <f t="shared" si="1"/>
        <v>-0.59999999999999987</v>
      </c>
      <c r="H12" s="1">
        <f t="shared" si="2"/>
        <v>1.9</v>
      </c>
      <c r="I12" s="1">
        <f t="shared" si="2"/>
        <v>1.5000000000000002</v>
      </c>
      <c r="J12" s="1">
        <f t="shared" si="3"/>
        <v>-0.30000000000000016</v>
      </c>
      <c r="K12" s="1">
        <f t="shared" si="4"/>
        <v>-0.69999999999999984</v>
      </c>
    </row>
    <row r="13" spans="1:11" x14ac:dyDescent="0.35">
      <c r="B13" s="1">
        <v>1.9999999999999998</v>
      </c>
      <c r="C13" s="1">
        <v>1.5000000000000002</v>
      </c>
      <c r="D13" s="1">
        <f t="shared" si="0"/>
        <v>0.99999999999999978</v>
      </c>
      <c r="E13" s="1">
        <f t="shared" si="0"/>
        <v>0.50000000000000022</v>
      </c>
      <c r="F13" s="1">
        <f t="shared" si="1"/>
        <v>0</v>
      </c>
      <c r="G13" s="1">
        <f t="shared" si="1"/>
        <v>-0.49999999999999978</v>
      </c>
      <c r="H13" s="1">
        <f t="shared" si="2"/>
        <v>2.0999999999999996</v>
      </c>
      <c r="I13" s="1">
        <f t="shared" si="2"/>
        <v>1.6000000000000003</v>
      </c>
      <c r="J13" s="1">
        <f t="shared" si="3"/>
        <v>-0.1</v>
      </c>
      <c r="K13" s="1">
        <f t="shared" si="4"/>
        <v>-0.59999999999999976</v>
      </c>
    </row>
    <row r="15" spans="1:11" x14ac:dyDescent="0.35">
      <c r="A15" t="s">
        <v>2</v>
      </c>
      <c r="B15" s="1">
        <f t="shared" ref="B15:K15" si="5">AVERAGE(B3:B13)</f>
        <v>1</v>
      </c>
      <c r="C15" s="1">
        <f t="shared" si="5"/>
        <v>1</v>
      </c>
      <c r="D15" s="1">
        <f t="shared" si="5"/>
        <v>0</v>
      </c>
      <c r="E15" s="1">
        <f t="shared" si="5"/>
        <v>0</v>
      </c>
      <c r="F15" s="1">
        <f t="shared" si="5"/>
        <v>-1</v>
      </c>
      <c r="G15" s="1">
        <f t="shared" si="5"/>
        <v>-1</v>
      </c>
      <c r="H15" s="1">
        <f t="shared" si="5"/>
        <v>1.0999999999999999</v>
      </c>
      <c r="I15" s="1">
        <f t="shared" si="5"/>
        <v>1.0999999999999999</v>
      </c>
      <c r="J15" s="1">
        <f t="shared" si="5"/>
        <v>-1.0999999999999999</v>
      </c>
      <c r="K15" s="1">
        <f t="shared" si="5"/>
        <v>-1.1000000000000001</v>
      </c>
    </row>
    <row r="16" spans="1:11" s="3" customFormat="1" x14ac:dyDescent="0.35">
      <c r="A16" s="3" t="s">
        <v>3</v>
      </c>
      <c r="B16" s="4">
        <f t="shared" ref="B16:K16" si="6">_xlfn.STDEV.P(B3:B13)</f>
        <v>0.63245553203367566</v>
      </c>
      <c r="C16" s="4">
        <f t="shared" si="6"/>
        <v>0.31622776601683822</v>
      </c>
      <c r="D16" s="4">
        <f t="shared" si="6"/>
        <v>0.63245553203367577</v>
      </c>
      <c r="E16" s="4">
        <f t="shared" si="6"/>
        <v>0.316227766016838</v>
      </c>
      <c r="F16" s="4">
        <f t="shared" si="6"/>
        <v>0.63245553203367588</v>
      </c>
      <c r="G16" s="4">
        <f t="shared" si="6"/>
        <v>0.31622776601683822</v>
      </c>
      <c r="H16" s="4">
        <f t="shared" si="6"/>
        <v>0.63245553203367588</v>
      </c>
      <c r="I16" s="4">
        <f t="shared" si="6"/>
        <v>0.31622776601683822</v>
      </c>
      <c r="J16" s="4">
        <f t="shared" si="6"/>
        <v>0.63245553203367566</v>
      </c>
      <c r="K16" s="4">
        <f t="shared" si="6"/>
        <v>0.31622776601683822</v>
      </c>
    </row>
    <row r="17" spans="1:11" x14ac:dyDescent="0.35">
      <c r="A17" t="s">
        <v>4</v>
      </c>
      <c r="B17" s="1">
        <f t="shared" ref="B17:K17" si="7">_xlfn.SKEW.P(B3:B13)</f>
        <v>-4.0371746350005691E-16</v>
      </c>
      <c r="C17" s="1">
        <f t="shared" si="7"/>
        <v>6.0557619525008534E-16</v>
      </c>
      <c r="D17" s="1">
        <f t="shared" si="7"/>
        <v>-4.4408920985006262E-16</v>
      </c>
      <c r="E17" s="1">
        <f t="shared" si="7"/>
        <v>6.0557619525008534E-16</v>
      </c>
      <c r="F17" s="1">
        <f t="shared" si="7"/>
        <v>-2.8260222445003984E-16</v>
      </c>
      <c r="G17" s="1">
        <f t="shared" si="7"/>
        <v>7.6706318065010816E-16</v>
      </c>
      <c r="H17" s="1">
        <f t="shared" si="7"/>
        <v>1.2111523905001707E-16</v>
      </c>
      <c r="I17" s="1">
        <f t="shared" si="7"/>
        <v>2.2204460492503131E-15</v>
      </c>
      <c r="J17" s="1">
        <f t="shared" si="7"/>
        <v>-8.4780667335011958E-16</v>
      </c>
      <c r="K17" s="1">
        <f t="shared" si="7"/>
        <v>1.2111523905001707E-15</v>
      </c>
    </row>
    <row r="18" spans="1:11" x14ac:dyDescent="0.35">
      <c r="A18" t="s">
        <v>5</v>
      </c>
      <c r="B18" s="1">
        <f t="shared" ref="B18:K18" si="8">KURT(B3:B13)</f>
        <v>-1.2000000000000011</v>
      </c>
      <c r="C18" s="1">
        <f t="shared" si="8"/>
        <v>-1.200000000000002</v>
      </c>
      <c r="D18" s="1">
        <f t="shared" si="8"/>
        <v>-1.1999999999999997</v>
      </c>
      <c r="E18" s="1">
        <f t="shared" si="8"/>
        <v>-1.200000000000002</v>
      </c>
      <c r="F18" s="1">
        <f t="shared" si="8"/>
        <v>-1.200000000000002</v>
      </c>
      <c r="G18" s="1">
        <f t="shared" si="8"/>
        <v>-1.200000000000002</v>
      </c>
      <c r="H18" s="1">
        <f t="shared" si="8"/>
        <v>-1.200000000000002</v>
      </c>
      <c r="I18" s="1">
        <f t="shared" si="8"/>
        <v>-1.2000000000000011</v>
      </c>
      <c r="J18" s="1">
        <f t="shared" si="8"/>
        <v>-1.2000000000000011</v>
      </c>
      <c r="K18" s="1">
        <f t="shared" si="8"/>
        <v>-1.2000000000000002</v>
      </c>
    </row>
    <row r="19" spans="1:11" x14ac:dyDescent="0.35">
      <c r="A19" t="s">
        <v>14</v>
      </c>
      <c r="B19" s="1">
        <f t="shared" ref="B19:K19" si="9">MIN(B3:B13)</f>
        <v>0</v>
      </c>
      <c r="C19" s="1">
        <f t="shared" si="9"/>
        <v>0.5</v>
      </c>
      <c r="D19" s="1">
        <f t="shared" si="9"/>
        <v>-1</v>
      </c>
      <c r="E19" s="1">
        <f t="shared" si="9"/>
        <v>-0.5</v>
      </c>
      <c r="F19" s="1">
        <f t="shared" si="9"/>
        <v>-2</v>
      </c>
      <c r="G19" s="1">
        <f t="shared" si="9"/>
        <v>-1.5</v>
      </c>
      <c r="H19" s="1">
        <f t="shared" si="9"/>
        <v>0.1</v>
      </c>
      <c r="I19" s="1">
        <f t="shared" si="9"/>
        <v>0.6</v>
      </c>
      <c r="J19" s="1">
        <f t="shared" si="9"/>
        <v>-2.1</v>
      </c>
      <c r="K19" s="1">
        <f t="shared" si="9"/>
        <v>-1.6</v>
      </c>
    </row>
    <row r="20" spans="1:11" x14ac:dyDescent="0.35">
      <c r="A20" t="s">
        <v>15</v>
      </c>
      <c r="B20" s="1">
        <f t="shared" ref="B20:K20" si="10">MAX(B3:B13)</f>
        <v>1.9999999999999998</v>
      </c>
      <c r="C20" s="1">
        <f t="shared" si="10"/>
        <v>1.5000000000000002</v>
      </c>
      <c r="D20" s="1">
        <f t="shared" si="10"/>
        <v>0.99999999999999978</v>
      </c>
      <c r="E20" s="1">
        <f t="shared" si="10"/>
        <v>0.50000000000000022</v>
      </c>
      <c r="F20" s="1">
        <f t="shared" si="10"/>
        <v>0</v>
      </c>
      <c r="G20" s="1">
        <f t="shared" si="10"/>
        <v>-0.49999999999999978</v>
      </c>
      <c r="H20" s="1">
        <f t="shared" si="10"/>
        <v>2.0999999999999996</v>
      </c>
      <c r="I20" s="1">
        <f t="shared" si="10"/>
        <v>1.6000000000000003</v>
      </c>
      <c r="J20" s="1">
        <f t="shared" si="10"/>
        <v>-0.1</v>
      </c>
      <c r="K20" s="1">
        <f t="shared" si="10"/>
        <v>-0.59999999999999976</v>
      </c>
    </row>
    <row r="21" spans="1:11" x14ac:dyDescent="0.35">
      <c r="A21" t="s">
        <v>16</v>
      </c>
      <c r="B21" s="1">
        <f>CORREL(B3:B13,C3:C13)</f>
        <v>0.99999999999999989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1.0000000000000002</v>
      </c>
    </row>
  </sheetData>
  <mergeCells count="5"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3734-4B47-4C9C-9EE0-FCAAC16253AB}">
  <dimension ref="A2:K21"/>
  <sheetViews>
    <sheetView workbookViewId="0">
      <selection activeCell="B2" sqref="B2:K21"/>
    </sheetView>
  </sheetViews>
  <sheetFormatPr defaultRowHeight="14.5" x14ac:dyDescent="0.35"/>
  <sheetData>
    <row r="2" spans="1:11" s="2" customFormat="1" x14ac:dyDescent="0.35">
      <c r="B2" s="7" t="s">
        <v>0</v>
      </c>
      <c r="C2" s="7"/>
      <c r="D2" s="7" t="s">
        <v>1</v>
      </c>
      <c r="E2" s="7"/>
      <c r="F2" s="7" t="s">
        <v>6</v>
      </c>
      <c r="G2" s="7"/>
      <c r="H2" s="7" t="s">
        <v>7</v>
      </c>
      <c r="I2" s="7"/>
      <c r="J2" s="7" t="s">
        <v>8</v>
      </c>
      <c r="K2" s="7"/>
    </row>
    <row r="3" spans="1:11" x14ac:dyDescent="0.35">
      <c r="B3" s="1">
        <v>0.85</v>
      </c>
      <c r="C3" s="1">
        <v>1.05</v>
      </c>
      <c r="D3" s="1">
        <f>B3-1</f>
        <v>-0.15000000000000002</v>
      </c>
      <c r="E3" s="1">
        <f>C3-1</f>
        <v>5.0000000000000044E-2</v>
      </c>
      <c r="F3" s="1">
        <f>B3-2</f>
        <v>-1.1499999999999999</v>
      </c>
      <c r="G3" s="1">
        <f>C3-2</f>
        <v>-0.95</v>
      </c>
      <c r="H3" s="1">
        <f>B3+0.1</f>
        <v>0.95</v>
      </c>
      <c r="I3" s="1">
        <f>C3+0.1</f>
        <v>1.1500000000000001</v>
      </c>
      <c r="J3" s="1">
        <f>F3-0.1</f>
        <v>-1.25</v>
      </c>
      <c r="K3" s="1">
        <f>G3-0.1</f>
        <v>-1.05</v>
      </c>
    </row>
    <row r="4" spans="1:11" x14ac:dyDescent="0.35">
      <c r="B4" s="1">
        <v>0.86</v>
      </c>
      <c r="C4" s="1">
        <v>1.06</v>
      </c>
      <c r="D4" s="1">
        <f t="shared" ref="D4:E13" si="0">B4-1</f>
        <v>-0.14000000000000001</v>
      </c>
      <c r="E4" s="1">
        <f t="shared" si="0"/>
        <v>6.0000000000000053E-2</v>
      </c>
      <c r="F4" s="1">
        <f t="shared" ref="F4:G13" si="1">B4-2</f>
        <v>-1.1400000000000001</v>
      </c>
      <c r="G4" s="1">
        <f t="shared" si="1"/>
        <v>-0.94</v>
      </c>
      <c r="H4" s="1">
        <f t="shared" ref="H4:I13" si="2">B4+0.1</f>
        <v>0.96</v>
      </c>
      <c r="I4" s="1">
        <f t="shared" si="2"/>
        <v>1.1600000000000001</v>
      </c>
      <c r="J4" s="1">
        <f t="shared" ref="J4:K13" si="3">F4-0.1</f>
        <v>-1.2400000000000002</v>
      </c>
      <c r="K4" s="1">
        <f t="shared" si="3"/>
        <v>-1.04</v>
      </c>
    </row>
    <row r="5" spans="1:11" x14ac:dyDescent="0.35">
      <c r="B5" s="1">
        <v>0.87</v>
      </c>
      <c r="C5" s="1">
        <v>1.07</v>
      </c>
      <c r="D5" s="1">
        <f t="shared" si="0"/>
        <v>-0.13</v>
      </c>
      <c r="E5" s="1">
        <f t="shared" si="0"/>
        <v>7.0000000000000062E-2</v>
      </c>
      <c r="F5" s="1">
        <f t="shared" si="1"/>
        <v>-1.1299999999999999</v>
      </c>
      <c r="G5" s="1">
        <f t="shared" si="1"/>
        <v>-0.92999999999999994</v>
      </c>
      <c r="H5" s="1">
        <f t="shared" si="2"/>
        <v>0.97</v>
      </c>
      <c r="I5" s="1">
        <f t="shared" si="2"/>
        <v>1.1700000000000002</v>
      </c>
      <c r="J5" s="1">
        <f t="shared" si="3"/>
        <v>-1.23</v>
      </c>
      <c r="K5" s="1">
        <f t="shared" si="3"/>
        <v>-1.03</v>
      </c>
    </row>
    <row r="6" spans="1:11" x14ac:dyDescent="0.35">
      <c r="B6" s="1">
        <v>0.88</v>
      </c>
      <c r="C6" s="1">
        <v>1.08</v>
      </c>
      <c r="D6" s="1">
        <f t="shared" si="0"/>
        <v>-0.12</v>
      </c>
      <c r="E6" s="1">
        <f t="shared" si="0"/>
        <v>8.0000000000000071E-2</v>
      </c>
      <c r="F6" s="1">
        <f t="shared" si="1"/>
        <v>-1.1200000000000001</v>
      </c>
      <c r="G6" s="1">
        <f t="shared" si="1"/>
        <v>-0.91999999999999993</v>
      </c>
      <c r="H6" s="1">
        <f t="shared" si="2"/>
        <v>0.98</v>
      </c>
      <c r="I6" s="1">
        <f t="shared" si="2"/>
        <v>1.1800000000000002</v>
      </c>
      <c r="J6" s="1">
        <f t="shared" si="3"/>
        <v>-1.2200000000000002</v>
      </c>
      <c r="K6" s="1">
        <f t="shared" si="3"/>
        <v>-1.02</v>
      </c>
    </row>
    <row r="7" spans="1:11" x14ac:dyDescent="0.35">
      <c r="B7" s="1">
        <v>0.89</v>
      </c>
      <c r="C7" s="1">
        <v>1.0900000000000001</v>
      </c>
      <c r="D7" s="1">
        <f t="shared" si="0"/>
        <v>-0.10999999999999999</v>
      </c>
      <c r="E7" s="1">
        <f t="shared" si="0"/>
        <v>9.000000000000008E-2</v>
      </c>
      <c r="F7" s="1">
        <f t="shared" si="1"/>
        <v>-1.1099999999999999</v>
      </c>
      <c r="G7" s="1">
        <f t="shared" si="1"/>
        <v>-0.90999999999999992</v>
      </c>
      <c r="H7" s="1">
        <f t="shared" si="2"/>
        <v>0.99</v>
      </c>
      <c r="I7" s="1">
        <f t="shared" si="2"/>
        <v>1.1900000000000002</v>
      </c>
      <c r="J7" s="1">
        <f t="shared" si="3"/>
        <v>-1.21</v>
      </c>
      <c r="K7" s="1">
        <f t="shared" si="3"/>
        <v>-1.01</v>
      </c>
    </row>
    <row r="8" spans="1:11" x14ac:dyDescent="0.35">
      <c r="B8" s="1">
        <v>0.91</v>
      </c>
      <c r="C8" s="1">
        <v>1.1100000000000001</v>
      </c>
      <c r="D8" s="1">
        <f t="shared" si="0"/>
        <v>-8.9999999999999969E-2</v>
      </c>
      <c r="E8" s="1">
        <f t="shared" si="0"/>
        <v>0.1100000000000001</v>
      </c>
      <c r="F8" s="1">
        <f t="shared" si="1"/>
        <v>-1.0899999999999999</v>
      </c>
      <c r="G8" s="1">
        <f t="shared" si="1"/>
        <v>-0.8899999999999999</v>
      </c>
      <c r="H8" s="1">
        <f t="shared" si="2"/>
        <v>1.01</v>
      </c>
      <c r="I8" s="1">
        <f t="shared" si="2"/>
        <v>1.2100000000000002</v>
      </c>
      <c r="J8" s="1">
        <f t="shared" si="3"/>
        <v>-1.19</v>
      </c>
      <c r="K8" s="1">
        <f t="shared" si="3"/>
        <v>-0.98999999999999988</v>
      </c>
    </row>
    <row r="9" spans="1:11" x14ac:dyDescent="0.35">
      <c r="B9" s="1">
        <v>0.92</v>
      </c>
      <c r="C9" s="1">
        <v>1.1200000000000001</v>
      </c>
      <c r="D9" s="1">
        <f t="shared" si="0"/>
        <v>-7.999999999999996E-2</v>
      </c>
      <c r="E9" s="1">
        <f t="shared" si="0"/>
        <v>0.12000000000000011</v>
      </c>
      <c r="F9" s="1">
        <f t="shared" si="1"/>
        <v>-1.08</v>
      </c>
      <c r="G9" s="1">
        <f t="shared" si="1"/>
        <v>-0.87999999999999989</v>
      </c>
      <c r="H9" s="1">
        <f t="shared" si="2"/>
        <v>1.02</v>
      </c>
      <c r="I9" s="1">
        <f t="shared" si="2"/>
        <v>1.2200000000000002</v>
      </c>
      <c r="J9" s="1">
        <f t="shared" si="3"/>
        <v>-1.1800000000000002</v>
      </c>
      <c r="K9" s="1">
        <f t="shared" si="3"/>
        <v>-0.97999999999999987</v>
      </c>
    </row>
    <row r="10" spans="1:11" x14ac:dyDescent="0.35">
      <c r="B10" s="1">
        <v>0.93</v>
      </c>
      <c r="C10" s="1">
        <v>1.1300000000000001</v>
      </c>
      <c r="D10" s="1">
        <f t="shared" si="0"/>
        <v>-6.9999999999999951E-2</v>
      </c>
      <c r="E10" s="1">
        <f t="shared" si="0"/>
        <v>0.13000000000000012</v>
      </c>
      <c r="F10" s="1">
        <f t="shared" si="1"/>
        <v>-1.0699999999999998</v>
      </c>
      <c r="G10" s="1">
        <f t="shared" si="1"/>
        <v>-0.86999999999999988</v>
      </c>
      <c r="H10" s="1">
        <f t="shared" si="2"/>
        <v>1.03</v>
      </c>
      <c r="I10" s="1">
        <f t="shared" si="2"/>
        <v>1.2300000000000002</v>
      </c>
      <c r="J10" s="1">
        <f t="shared" si="3"/>
        <v>-1.17</v>
      </c>
      <c r="K10" s="1">
        <f t="shared" si="3"/>
        <v>-0.96999999999999986</v>
      </c>
    </row>
    <row r="11" spans="1:11" x14ac:dyDescent="0.35">
      <c r="B11" s="1">
        <v>0.94000000000000006</v>
      </c>
      <c r="C11" s="1">
        <v>1.1400000000000001</v>
      </c>
      <c r="D11" s="1">
        <f t="shared" si="0"/>
        <v>-5.9999999999999942E-2</v>
      </c>
      <c r="E11" s="1">
        <f t="shared" si="0"/>
        <v>0.14000000000000012</v>
      </c>
      <c r="F11" s="1">
        <f t="shared" si="1"/>
        <v>-1.06</v>
      </c>
      <c r="G11" s="1">
        <f t="shared" si="1"/>
        <v>-0.85999999999999988</v>
      </c>
      <c r="H11" s="1">
        <f t="shared" si="2"/>
        <v>1.04</v>
      </c>
      <c r="I11" s="1">
        <f t="shared" si="2"/>
        <v>1.2400000000000002</v>
      </c>
      <c r="J11" s="1">
        <f t="shared" si="3"/>
        <v>-1.1600000000000001</v>
      </c>
      <c r="K11" s="1">
        <f t="shared" si="3"/>
        <v>-0.95999999999999985</v>
      </c>
    </row>
    <row r="12" spans="1:11" x14ac:dyDescent="0.35">
      <c r="B12" s="1">
        <v>0.95000000000000007</v>
      </c>
      <c r="C12" s="1">
        <v>1.1500000000000001</v>
      </c>
      <c r="D12" s="1">
        <f t="shared" si="0"/>
        <v>-4.9999999999999933E-2</v>
      </c>
      <c r="E12" s="1">
        <f t="shared" si="0"/>
        <v>0.15000000000000013</v>
      </c>
      <c r="F12" s="1">
        <f t="shared" si="1"/>
        <v>-1.0499999999999998</v>
      </c>
      <c r="G12" s="1">
        <f t="shared" si="1"/>
        <v>-0.84999999999999987</v>
      </c>
      <c r="H12" s="1">
        <f t="shared" si="2"/>
        <v>1.05</v>
      </c>
      <c r="I12" s="1">
        <f t="shared" si="2"/>
        <v>1.2500000000000002</v>
      </c>
      <c r="J12" s="1">
        <f t="shared" si="3"/>
        <v>-1.1499999999999999</v>
      </c>
      <c r="K12" s="1">
        <f t="shared" si="3"/>
        <v>-0.94999999999999984</v>
      </c>
    </row>
    <row r="13" spans="1:11" x14ac:dyDescent="0.35">
      <c r="B13" s="1">
        <v>2</v>
      </c>
      <c r="C13" s="1">
        <v>0</v>
      </c>
      <c r="D13" s="1">
        <f t="shared" si="0"/>
        <v>1</v>
      </c>
      <c r="E13" s="1">
        <f t="shared" si="0"/>
        <v>-1</v>
      </c>
      <c r="F13" s="1">
        <f t="shared" si="1"/>
        <v>0</v>
      </c>
      <c r="G13" s="1">
        <f t="shared" si="1"/>
        <v>-2</v>
      </c>
      <c r="H13" s="1">
        <f t="shared" si="2"/>
        <v>2.1</v>
      </c>
      <c r="I13" s="1">
        <f t="shared" si="2"/>
        <v>0.1</v>
      </c>
      <c r="J13" s="1">
        <f t="shared" si="3"/>
        <v>-0.1</v>
      </c>
      <c r="K13" s="1">
        <f t="shared" si="3"/>
        <v>-2.1</v>
      </c>
    </row>
    <row r="15" spans="1:11" x14ac:dyDescent="0.35">
      <c r="A15" t="s">
        <v>2</v>
      </c>
      <c r="B15" s="1">
        <f t="shared" ref="B15:K15" si="4">AVERAGE(B3:B13)</f>
        <v>0.99999999999999989</v>
      </c>
      <c r="C15" s="1">
        <f t="shared" si="4"/>
        <v>1.0000000000000002</v>
      </c>
      <c r="D15" s="1">
        <f t="shared" si="4"/>
        <v>0</v>
      </c>
      <c r="E15" s="1">
        <f t="shared" si="4"/>
        <v>0</v>
      </c>
      <c r="F15" s="1">
        <f t="shared" si="4"/>
        <v>-1</v>
      </c>
      <c r="G15" s="1">
        <f t="shared" si="4"/>
        <v>-0.99999999999999989</v>
      </c>
      <c r="H15" s="1">
        <f t="shared" si="4"/>
        <v>1.0999999999999999</v>
      </c>
      <c r="I15" s="1">
        <f t="shared" si="4"/>
        <v>1.1000000000000001</v>
      </c>
      <c r="J15" s="1">
        <f t="shared" si="4"/>
        <v>-1.0999999999999999</v>
      </c>
      <c r="K15" s="1">
        <f t="shared" si="4"/>
        <v>-1.0999999999999999</v>
      </c>
    </row>
    <row r="16" spans="1:11" x14ac:dyDescent="0.35">
      <c r="A16" t="s">
        <v>3</v>
      </c>
      <c r="B16" s="1">
        <f t="shared" ref="B16:K16" si="5">_xlfn.STDEV.P(B3:B13)</f>
        <v>0.31780497164141469</v>
      </c>
      <c r="C16" s="1">
        <f t="shared" si="5"/>
        <v>0.31780497164141358</v>
      </c>
      <c r="D16" s="1">
        <f t="shared" si="5"/>
        <v>0.31780497164141408</v>
      </c>
      <c r="E16" s="1">
        <f t="shared" si="5"/>
        <v>0.31780497164141408</v>
      </c>
      <c r="F16" s="1">
        <f t="shared" si="5"/>
        <v>0.31780497164141375</v>
      </c>
      <c r="G16" s="1">
        <f t="shared" si="5"/>
        <v>0.3178049716414143</v>
      </c>
      <c r="H16" s="1">
        <f t="shared" si="5"/>
        <v>0.31780497164141414</v>
      </c>
      <c r="I16" s="1">
        <f t="shared" si="5"/>
        <v>0.31780497164141414</v>
      </c>
      <c r="J16" s="1">
        <f t="shared" si="5"/>
        <v>0.31780497164141414</v>
      </c>
      <c r="K16" s="1">
        <f t="shared" si="5"/>
        <v>0.31780497164141486</v>
      </c>
    </row>
    <row r="17" spans="1:11" s="3" customFormat="1" x14ac:dyDescent="0.35">
      <c r="A17" s="3" t="s">
        <v>4</v>
      </c>
      <c r="B17" s="4">
        <f t="shared" ref="B17:K17" si="6">_xlfn.SKEW.P(B3:B13)</f>
        <v>2.7945403348921536</v>
      </c>
      <c r="C17" s="4">
        <f t="shared" si="6"/>
        <v>-2.7945403348921536</v>
      </c>
      <c r="D17" s="4">
        <f t="shared" si="6"/>
        <v>2.7945403348921518</v>
      </c>
      <c r="E17" s="4">
        <f t="shared" si="6"/>
        <v>-2.7945403348921518</v>
      </c>
      <c r="F17" s="4">
        <f t="shared" si="6"/>
        <v>2.7945403348921518</v>
      </c>
      <c r="G17" s="4">
        <f t="shared" si="6"/>
        <v>-2.7945403348921518</v>
      </c>
      <c r="H17" s="4">
        <f t="shared" si="6"/>
        <v>2.7945403348921536</v>
      </c>
      <c r="I17" s="4">
        <f t="shared" si="6"/>
        <v>-2.7945403348921518</v>
      </c>
      <c r="J17" s="4">
        <f t="shared" si="6"/>
        <v>2.7945403348921505</v>
      </c>
      <c r="K17" s="4">
        <f t="shared" si="6"/>
        <v>-2.7945403348921518</v>
      </c>
    </row>
    <row r="18" spans="1:11" x14ac:dyDescent="0.35">
      <c r="A18" t="s">
        <v>5</v>
      </c>
      <c r="B18" s="1">
        <f t="shared" ref="B18:K18" si="7">KURT(B3:B13)</f>
        <v>10.711250530993702</v>
      </c>
      <c r="C18" s="1">
        <f t="shared" si="7"/>
        <v>10.711250530993702</v>
      </c>
      <c r="D18" s="1">
        <f t="shared" si="7"/>
        <v>10.711250530993684</v>
      </c>
      <c r="E18" s="1">
        <f t="shared" si="7"/>
        <v>10.711250530993684</v>
      </c>
      <c r="F18" s="1">
        <f t="shared" si="7"/>
        <v>10.711250530993684</v>
      </c>
      <c r="G18" s="1">
        <f t="shared" si="7"/>
        <v>10.711250530993684</v>
      </c>
      <c r="H18" s="1">
        <f t="shared" si="7"/>
        <v>10.711250530993702</v>
      </c>
      <c r="I18" s="1">
        <f t="shared" si="7"/>
        <v>10.711250530993684</v>
      </c>
      <c r="J18" s="1">
        <f t="shared" si="7"/>
        <v>10.711250530993684</v>
      </c>
      <c r="K18" s="1">
        <f t="shared" si="7"/>
        <v>10.711250530993691</v>
      </c>
    </row>
    <row r="19" spans="1:11" x14ac:dyDescent="0.35">
      <c r="A19" t="s">
        <v>14</v>
      </c>
      <c r="B19" s="1">
        <f t="shared" ref="B19:K19" si="8">MIN(B3:B13)</f>
        <v>0.85</v>
      </c>
      <c r="C19" s="1">
        <f t="shared" si="8"/>
        <v>0</v>
      </c>
      <c r="D19" s="1">
        <f t="shared" si="8"/>
        <v>-0.15000000000000002</v>
      </c>
      <c r="E19" s="1">
        <f t="shared" si="8"/>
        <v>-1</v>
      </c>
      <c r="F19" s="1">
        <f t="shared" si="8"/>
        <v>-1.1499999999999999</v>
      </c>
      <c r="G19" s="1">
        <f t="shared" si="8"/>
        <v>-2</v>
      </c>
      <c r="H19" s="1">
        <f t="shared" si="8"/>
        <v>0.95</v>
      </c>
      <c r="I19" s="1">
        <f t="shared" si="8"/>
        <v>0.1</v>
      </c>
      <c r="J19" s="1">
        <f t="shared" si="8"/>
        <v>-1.25</v>
      </c>
      <c r="K19" s="1">
        <f t="shared" si="8"/>
        <v>-2.1</v>
      </c>
    </row>
    <row r="20" spans="1:11" x14ac:dyDescent="0.35">
      <c r="A20" t="s">
        <v>15</v>
      </c>
      <c r="B20" s="1">
        <f t="shared" ref="B20:K20" si="9">MAX(B3:B13)</f>
        <v>2</v>
      </c>
      <c r="C20" s="1">
        <f t="shared" si="9"/>
        <v>1.1500000000000001</v>
      </c>
      <c r="D20" s="1">
        <f t="shared" si="9"/>
        <v>1</v>
      </c>
      <c r="E20" s="1">
        <f t="shared" si="9"/>
        <v>0.15000000000000013</v>
      </c>
      <c r="F20" s="1">
        <f t="shared" si="9"/>
        <v>0</v>
      </c>
      <c r="G20" s="1">
        <f t="shared" si="9"/>
        <v>-0.84999999999999987</v>
      </c>
      <c r="H20" s="1">
        <f t="shared" si="9"/>
        <v>2.1</v>
      </c>
      <c r="I20" s="1">
        <f t="shared" si="9"/>
        <v>1.2500000000000002</v>
      </c>
      <c r="J20" s="1">
        <f t="shared" si="9"/>
        <v>-0.1</v>
      </c>
      <c r="K20" s="1">
        <f t="shared" si="9"/>
        <v>-0.94999999999999984</v>
      </c>
    </row>
    <row r="21" spans="1:11" x14ac:dyDescent="0.35">
      <c r="A21" t="s">
        <v>16</v>
      </c>
      <c r="B21" s="1">
        <f>CORREL(B3:B13,C3:C13)</f>
        <v>-0.98019801980198018</v>
      </c>
      <c r="D21" s="1">
        <f>CORREL(D3:D13,E3:E13)</f>
        <v>-0.98019801980198007</v>
      </c>
      <c r="F21" s="1">
        <f>CORREL(F3:F13,G3:G13)</f>
        <v>-0.98019801980198007</v>
      </c>
      <c r="H21" s="1">
        <f>CORREL(H3:H13,I3:I13)</f>
        <v>-0.98019801980198029</v>
      </c>
      <c r="J21" s="1">
        <f>CORREL(J3:J13,K3:K13)</f>
        <v>-0.98019801980197996</v>
      </c>
    </row>
  </sheetData>
  <mergeCells count="5"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Volatility</vt:lpstr>
      <vt:lpstr>Skewness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Ungeheuer</dc:creator>
  <cp:lastModifiedBy>Salin Samuel</cp:lastModifiedBy>
  <dcterms:created xsi:type="dcterms:W3CDTF">2026-07-09T15:42:59Z</dcterms:created>
  <dcterms:modified xsi:type="dcterms:W3CDTF">2026-07-20T11:26:14Z</dcterms:modified>
</cp:coreProperties>
</file>